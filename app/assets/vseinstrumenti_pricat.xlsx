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3d\warehouse_bot\tables_examples\"/>
    </mc:Choice>
  </mc:AlternateContent>
  <xr:revisionPtr revIDLastSave="0" documentId="13_ncr:1_{170EF586-D85E-45E6-B1FA-CF6A78C2B81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 1" sheetId="1" r:id="rId1"/>
    <sheet name="Сертификаты и декларации" sheetId="2" r:id="rId2"/>
    <sheet name="Страны" sheetId="3" r:id="rId3"/>
    <sheet name="Единицы измерения" sheetId="4" r:id="rId4"/>
    <sheet name="nomen" sheetId="5" r:id="rId5"/>
  </sheets>
  <definedNames>
    <definedName name="_xlnm._FilterDatabase">'Лист 1'!$A$12:$AH$13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02" i="1" l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Kontur.EDI</author>
  </authors>
  <commentList>
    <comment ref="AA12" authorId="0" shapeId="0" xr:uid="{00000000-0006-0000-0000-000001000000}">
      <text>
        <r>
          <rPr>
            <sz val="9"/>
            <color indexed="81"/>
            <rFont val="Tahoma"/>
            <family val="2"/>
            <charset val="204"/>
          </rPr>
          <t>Если у вас один склад, поле можно не заполнять. Если складов несколько, укажите GLN склада, где хранится товар. При наличии товара на нескольких складах:
— Укажите GLN склада и остаток для текущей позиции
— Добавьте аналогичные позиции и укажите остатки и GLN для других складов</t>
        </r>
      </text>
    </comment>
  </commentList>
</comments>
</file>

<file path=xl/sharedStrings.xml><?xml version="1.0" encoding="utf-8"?>
<sst xmlns="http://schemas.openxmlformats.org/spreadsheetml/2006/main" count="8724" uniqueCount="2825">
  <si>
    <t>№</t>
  </si>
  <si>
    <t xml:space="preserve">Штрих-код товарной позиции </t>
  </si>
  <si>
    <t>Номер сертификата или декларации соответствия</t>
  </si>
  <si>
    <t>Дата регистрации сертификата или декларации соответствия</t>
  </si>
  <si>
    <t>Дата окончания действия сертификата или декларации соответствия</t>
  </si>
  <si>
    <t>Ссылка на сертификат или декларацию соответствия
в реестре сертификатов и деклараций соответствия</t>
  </si>
  <si>
    <t/>
  </si>
  <si>
    <t>Укажите данные о сертификатах и декларациях.
В одной строке должен быть один сертификат или декларация.</t>
  </si>
  <si>
    <t>Страны</t>
  </si>
  <si>
    <t>Абхазия</t>
  </si>
  <si>
    <t>Австралия</t>
  </si>
  <si>
    <t>Австрия</t>
  </si>
  <si>
    <t>Азербайджан</t>
  </si>
  <si>
    <t>Албания</t>
  </si>
  <si>
    <t>Алжир</t>
  </si>
  <si>
    <t>Американское Самоа</t>
  </si>
  <si>
    <t>Ангилья</t>
  </si>
  <si>
    <t>Ангола</t>
  </si>
  <si>
    <t>Андорра</t>
  </si>
  <si>
    <t>Антарктида</t>
  </si>
  <si>
    <t>Антигуа и Барбуда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</si>
  <si>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</si>
  <si>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</si>
  <si>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</si>
  <si>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</si>
  <si>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</si>
  <si>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</si>
  <si>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</si>
  <si>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</si>
  <si>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Беларусь</t>
  </si>
  <si>
    <t>Белиз</t>
  </si>
  <si>
    <t>Бельгия</t>
  </si>
  <si>
    <t>Бенин</t>
  </si>
  <si>
    <t>Бермуды</t>
  </si>
  <si>
    <t>Болгария</t>
  </si>
  <si>
    <t>Боливия, Многонациональное Государство</t>
  </si>
  <si>
    <t>Бонэйр, Синт-Эстатиус и Саба</t>
  </si>
  <si>
    <t>Босния и Герцеговина</t>
  </si>
  <si>
    <t>Ботсвана</t>
  </si>
  <si>
    <t>Бразилия</t>
  </si>
  <si>
    <t>Британская Территория в Индийском Океане</t>
  </si>
  <si>
    <t>Бруней-Даруссалам</t>
  </si>
  <si>
    <t>Буркина-Фасо</t>
  </si>
  <si>
    <t>Бурунди</t>
  </si>
  <si>
    <t>Бутан</t>
  </si>
  <si>
    <t>Вануату</t>
  </si>
  <si>
    <t>Венгрия</t>
  </si>
  <si>
    <t>Венесуэла Боливарская Республика</t>
  </si>
  <si>
    <t>Виргинские Острова, британские</t>
  </si>
  <si>
    <t>Виргинские острова, США</t>
  </si>
  <si>
    <t>Вьетнам</t>
  </si>
  <si>
    <t>Габон</t>
  </si>
  <si>
    <t>Гайана</t>
  </si>
  <si>
    <t>Гаити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</si>
  <si>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</si>
  <si>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</si>
  <si>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</si>
  <si>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</si>
  <si>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</si>
  <si>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</si>
  <si>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Германия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</si>
  <si>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</si>
  <si>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</si>
  <si>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</si>
  <si>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</si>
  <si>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</si>
  <si>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</si>
  <si>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</si>
  <si>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</si>
  <si>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</si>
  <si>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</si>
  <si>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Джерси</t>
  </si>
  <si>
    <t>Джибути</t>
  </si>
  <si>
    <t>Доминика</t>
  </si>
  <si>
    <t>Доминиканская Республика</t>
  </si>
  <si>
    <t>Египет</t>
  </si>
  <si>
    <t>Замбия</t>
  </si>
  <si>
    <t>Западная Сахара</t>
  </si>
  <si>
    <t>Зимбабве</t>
  </si>
  <si>
    <t>Йемен</t>
  </si>
  <si>
    <t>Израиль</t>
  </si>
  <si>
    <t>Индия</t>
  </si>
  <si>
    <t>Индонезия</t>
  </si>
  <si>
    <t>Иордания</t>
  </si>
  <si>
    <t>Ирак</t>
  </si>
  <si>
    <t>Иран, Исламская Республика</t>
  </si>
  <si>
    <t>Ирландия</t>
  </si>
  <si>
    <t>Исландия</t>
  </si>
  <si>
    <t>Испания</t>
  </si>
  <si>
    <t>Италия</t>
  </si>
  <si>
    <t>Кабо-Верде</t>
  </si>
  <si>
    <t>Казахстан</t>
  </si>
  <si>
    <t>Камбоджа</t>
  </si>
  <si>
    <t>Камерун</t>
  </si>
  <si>
    <t>Канада</t>
  </si>
  <si>
    <t>Катар</t>
  </si>
  <si>
    <t>Кения</t>
  </si>
  <si>
    <t>Кипр</t>
  </si>
  <si>
    <t>Киргизия</t>
  </si>
  <si>
    <t>Кирибати</t>
  </si>
  <si>
    <t>Китай</t>
  </si>
  <si>
    <t>Кокосовые (Килинг) Острова</t>
  </si>
  <si>
    <t>Колумбия</t>
  </si>
  <si>
    <t>Коморос</t>
  </si>
  <si>
    <t>Конго</t>
  </si>
  <si>
    <t>Конго, Демократическая Республика</t>
  </si>
  <si>
    <t>Корея, Народно-Демократическая Республика</t>
  </si>
  <si>
    <t>Корея, Республика</t>
  </si>
  <si>
    <t>Коста-Рика</t>
  </si>
  <si>
    <t>Кот Д’Ивуар</t>
  </si>
  <si>
    <t>Куба</t>
  </si>
  <si>
    <t>Кувейт</t>
  </si>
  <si>
    <t>Кюрасао</t>
  </si>
  <si>
    <t>Лаосская Народно-Демократическая Республика</t>
  </si>
  <si>
    <t>Латвия</t>
  </si>
  <si>
    <t>Лесото</t>
  </si>
  <si>
    <t>Либерия</t>
  </si>
  <si>
    <t>Ливан</t>
  </si>
  <si>
    <t>Ливийская Арабская Джамахирия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</si>
  <si>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</si>
  <si>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</si>
  <si>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</si>
  <si>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</si>
  <si>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</si>
  <si>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</si>
  <si>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</si>
  <si>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</si>
  <si>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Малави</t>
  </si>
  <si>
    <t>Малайзия</t>
  </si>
  <si>
    <t>Мали</t>
  </si>
  <si>
    <t>Малые Тихоокеанские Отдаленные Острова Соединенных Штатов</t>
  </si>
  <si>
    <t>Мальдивы</t>
  </si>
  <si>
    <t>Мальта</t>
  </si>
  <si>
    <t>Марокко</t>
  </si>
  <si>
    <t>Мартиника</t>
  </si>
  <si>
    <t>Маршалловы острова</t>
  </si>
  <si>
    <t>Мексика</t>
  </si>
  <si>
    <t>Микронезия, Федеративные Штаты</t>
  </si>
  <si>
    <t>Мозамбик</t>
  </si>
  <si>
    <t>Молдова, Республика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</si>
  <si>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</si>
  <si>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</si>
  <si>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</si>
  <si>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</si>
  <si>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</si>
  <si>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</si>
  <si>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</si>
  <si>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</si>
  <si>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</si>
  <si>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</si>
  <si>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</si>
  <si>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Ниуэ</t>
  </si>
  <si>
    <t>Новая Зеландия</t>
  </si>
  <si>
    <t>Новая Каледония</t>
  </si>
  <si>
    <t>Норвегия</t>
  </si>
  <si>
    <t>Объединенные Арабские Эмираты</t>
  </si>
  <si>
    <t>Оман</t>
  </si>
  <si>
    <t>Остров Буве</t>
  </si>
  <si>
    <t>Остров Мэн</t>
  </si>
  <si>
    <t>Остров Норфолк</t>
  </si>
  <si>
    <t>Остров Рождества</t>
  </si>
  <si>
    <t>Остров Херд и Острова Макдоналд</t>
  </si>
  <si>
    <t>Острова Кайман</t>
  </si>
  <si>
    <t>Острова Кука</t>
  </si>
  <si>
    <t>Острова Тёркс и Кайкос</t>
  </si>
  <si>
    <t>Пакистан</t>
  </si>
  <si>
    <t>Палау</t>
  </si>
  <si>
    <t>Палестинская Территория, Оккупированная</t>
  </si>
  <si>
    <t>Панама</t>
  </si>
  <si>
    <t>Папский Престол (государство-город Ватикан)</t>
  </si>
  <si>
    <t>Папуа - Новая Гвинея</t>
  </si>
  <si>
    <t>Парагвай</t>
  </si>
  <si>
    <t>Перу</t>
  </si>
  <si>
    <t>Питкерн</t>
  </si>
  <si>
    <t>Польша</t>
  </si>
  <si>
    <t>Португалия</t>
  </si>
  <si>
    <t>Пуэрто-Рико</t>
  </si>
  <si>
    <t>Республика Македония</t>
  </si>
  <si>
    <t>Реюньон</t>
  </si>
  <si>
    <t>Россия</t>
  </si>
  <si>
    <t>Руанда</t>
  </si>
  <si>
    <t>Румыния</t>
  </si>
  <si>
    <t>Самоа</t>
  </si>
  <si>
    <t>Сан-Марино</t>
  </si>
  <si>
    <t>Сан-Томе и Принсипи</t>
  </si>
  <si>
    <t>Саудовская Аравия</t>
  </si>
  <si>
    <t>Свазиленд</t>
  </si>
  <si>
    <t>Святая Елена, Остров Вознесения, Тристан-да-Кунья</t>
  </si>
  <si>
    <t>Северные Марианские Острова</t>
  </si>
  <si>
    <t>Сейшелы</t>
  </si>
  <si>
    <t>Сен-Бартелеми</t>
  </si>
  <si>
    <t>Сенегал</t>
  </si>
  <si>
    <t>Сен-Мартен</t>
  </si>
  <si>
    <t>Сен-Мартен (нидерландская часть)</t>
  </si>
  <si>
    <t>Сен-Пьер и Микелон</t>
  </si>
  <si>
    <t>Сент-Винсент и Гренадины</t>
  </si>
  <si>
    <t>Сент-Китс и Невис</t>
  </si>
  <si>
    <t>Сент-Люсия</t>
  </si>
  <si>
    <t>Сербия</t>
  </si>
  <si>
    <t>Сингапур</t>
  </si>
  <si>
    <t>Сирийская Арабская Республика</t>
  </si>
  <si>
    <t>Словакия</t>
  </si>
  <si>
    <t>Словения</t>
  </si>
  <si>
    <t>Соединенное королевство</t>
  </si>
  <si>
    <t>Соединенные Штаты</t>
  </si>
  <si>
    <t>Соломоновы острова</t>
  </si>
  <si>
    <t>Сомали</t>
  </si>
  <si>
    <t>Судан</t>
  </si>
  <si>
    <t>Суринам</t>
  </si>
  <si>
    <t>Сьерра-Леоне</t>
  </si>
  <si>
    <t>Таджикистан</t>
  </si>
  <si>
    <t>Тайвань (Китай)</t>
  </si>
  <si>
    <t>Таиланд</t>
  </si>
  <si>
    <t>Танзания, Объединенная Республика</t>
  </si>
  <si>
    <t>Тимор-Лесте</t>
  </si>
  <si>
    <t>Того</t>
  </si>
  <si>
    <t>Токелау</t>
  </si>
  <si>
    <t>Тонга</t>
  </si>
  <si>
    <t>Тринидад и Тобаго</t>
  </si>
  <si>
    <t>Тувалу</t>
  </si>
  <si>
    <t>Тунис</t>
  </si>
  <si>
    <t>Туркмения</t>
  </si>
  <si>
    <t>Турция</t>
  </si>
  <si>
    <t>Уганда</t>
  </si>
  <si>
    <t>Узбекистан</t>
  </si>
  <si>
    <t>Украина</t>
  </si>
  <si>
    <t>Уоллис и Футуна</t>
  </si>
  <si>
    <t>Уругвай</t>
  </si>
  <si>
    <t>Фарерские Острова</t>
  </si>
  <si>
    <t>Фиджи</t>
  </si>
  <si>
    <t>Филиппины</t>
  </si>
  <si>
    <t>Финляндия</t>
  </si>
  <si>
    <t>Фолклендские Острова (Мальвинские)</t>
  </si>
  <si>
    <t>Франзуская Полинезия</t>
  </si>
  <si>
    <t>Франция</t>
  </si>
  <si>
    <t>Французская Гвиана</t>
  </si>
  <si>
    <t>Французские Южные Территории</t>
  </si>
  <si>
    <t>Хорватия</t>
  </si>
  <si>
    <t>Центрально-Африканская Республика</t>
  </si>
  <si>
    <t>Чад</t>
  </si>
  <si>
    <t>Черногория</t>
  </si>
  <si>
    <t>Чешская Республика</t>
  </si>
  <si>
    <t>Чили</t>
  </si>
  <si>
    <t>Швейцария</t>
  </si>
  <si>
    <t>Швеция</t>
  </si>
  <si>
    <t>Шпицберген и Ян Майен</t>
  </si>
  <si>
    <t>Шри-Ланка</t>
  </si>
  <si>
    <t>Эквадор</t>
  </si>
  <si>
    <t>Экваториальная Гвинея</t>
  </si>
  <si>
    <t>Эландские острова</t>
  </si>
  <si>
    <t>Эль-Сальвадор</t>
  </si>
  <si>
    <t>Эритрея</t>
  </si>
  <si>
    <t>Эстония</t>
  </si>
  <si>
    <t>Эфиопия</t>
  </si>
  <si>
    <t>Южная Африка</t>
  </si>
  <si>
    <t>Южная Джорджия и Южные Сандвичевы острова</t>
  </si>
  <si>
    <t>Южная Осетия</t>
  </si>
  <si>
    <t>Ямайка</t>
  </si>
  <si>
    <t>Япония</t>
  </si>
  <si>
    <t>Европейский союз</t>
  </si>
  <si>
    <t>Срок годности</t>
  </si>
  <si>
    <t>мес</t>
  </si>
  <si>
    <t>нед</t>
  </si>
  <si>
    <t>сут, дн</t>
  </si>
  <si>
    <t>ч</t>
  </si>
  <si>
    <t>Ценовой лист</t>
  </si>
  <si>
    <t>К договору поставки</t>
  </si>
  <si>
    <t>Тип</t>
  </si>
  <si>
    <t>Основной</t>
  </si>
  <si>
    <t>Цены действуют</t>
  </si>
  <si>
    <t>Комментарий для себя</t>
  </si>
  <si>
    <t>Сообщение покупателю</t>
  </si>
  <si>
    <t>Наименование</t>
  </si>
  <si>
    <t>ИНН</t>
  </si>
  <si>
    <t>КПП</t>
  </si>
  <si>
    <t>GLN</t>
  </si>
  <si>
    <t>Покупатель:</t>
  </si>
  <si>
    <t>Поставщик:</t>
  </si>
  <si>
    <t>Штрих-код</t>
  </si>
  <si>
    <t>Код сети</t>
  </si>
  <si>
    <t>Артикул</t>
  </si>
  <si>
    <t>Суббренд</t>
  </si>
  <si>
    <t>Функциональное название</t>
  </si>
  <si>
    <t>Наименование производителя</t>
  </si>
  <si>
    <t>Новая цена без НДС</t>
  </si>
  <si>
    <t>Ставка НДС</t>
  </si>
  <si>
    <t>Действующая цена с НДС</t>
  </si>
  <si>
    <t>Новая цена с НДС</t>
  </si>
  <si>
    <t>Валюта новой цены</t>
  </si>
  <si>
    <t>РРЦ</t>
  </si>
  <si>
    <t>Валюта РРЦ</t>
  </si>
  <si>
    <t>МОЦ</t>
  </si>
  <si>
    <t>Валюта МОЦ</t>
  </si>
  <si>
    <t>Ед. изм.</t>
  </si>
  <si>
    <t xml:space="preserve">Количество в упаковке </t>
  </si>
  <si>
    <t>Категория товаров</t>
  </si>
  <si>
    <t>Ширина</t>
  </si>
  <si>
    <t>Высота</t>
  </si>
  <si>
    <t>Глубина</t>
  </si>
  <si>
    <t>Ед. изм. размеров</t>
  </si>
  <si>
    <t>GLN склада</t>
  </si>
  <si>
    <t>Остаток на складе</t>
  </si>
  <si>
    <t>Срок изготовления, дней</t>
  </si>
  <si>
    <t>Признак опасности </t>
  </si>
  <si>
    <t>Квант поставки</t>
  </si>
  <si>
    <t>Страна производства</t>
  </si>
  <si>
    <t>Вес брутто, кг</t>
  </si>
  <si>
    <t>Код ТН ВЭД</t>
  </si>
  <si>
    <t>Данные о сертификатах и декларациях заполняются 
на вкладке "Сертификаты и декларации"</t>
  </si>
  <si>
    <t>₽</t>
  </si>
  <si>
    <t>ООО "ШАЙН СИСТЕМС"</t>
  </si>
  <si>
    <t>Shine systems Glass Towel - безворсовая микрофибра для стекол 4040 см SS902</t>
  </si>
  <si>
    <t>SS902</t>
  </si>
  <si>
    <t>Shine systems Универсальная микрофибра без оверлока edgeless 40x40см 400 гр/м2 (цвет серый) SS446</t>
  </si>
  <si>
    <t>SS446</t>
  </si>
  <si>
    <t>Shine systems Edgeless Towel – универсальная микрофибра без оверлока 4040см, 400гр/м2 SS996</t>
  </si>
  <si>
    <t>SS996</t>
  </si>
  <si>
    <t>Shine Systems FastQuartz быстрое супергидрофобное покрытие, 750 мл SS765</t>
  </si>
  <si>
    <t>SS765</t>
  </si>
  <si>
    <t>Shine systems Heavy Duty Trigger - распрыскиватель химически стойкий SS816</t>
  </si>
  <si>
    <t>SS816</t>
  </si>
  <si>
    <t>Shine Systems IronOFF бескислотный очиститель дисков с индикатором, 750 мл SS907</t>
  </si>
  <si>
    <t>SS907</t>
  </si>
  <si>
    <t>Shine Systems IPA антисиликон обезжириватель на спиртовой основе, 750 мл SS912</t>
  </si>
  <si>
    <t>SS912</t>
  </si>
  <si>
    <t>Shine systems Black line perfectglass - бесспиртовой стеклоочиститель, 400 мл SSBL983</t>
  </si>
  <si>
    <t>SSBL983</t>
  </si>
  <si>
    <t>Shine Systems GlossyGlass экспресс очиститель стекол, 5 л SS827</t>
  </si>
  <si>
    <t>SS827</t>
  </si>
  <si>
    <t>Shine systems Easy Dry Plus Towel - супервпитывающая микрофибра для сушки кузова 5060см, 600гр/м2 SS800</t>
  </si>
  <si>
    <t>SS800</t>
  </si>
  <si>
    <t>Shine Systems ResinOFF очиститель древесных смол, 750 мл SS876</t>
  </si>
  <si>
    <t>SS876</t>
  </si>
  <si>
    <t>Shine systems Wash Sponge - губка крупноячеистая для мойки кузова 20126см SS819</t>
  </si>
  <si>
    <t>SS819</t>
  </si>
  <si>
    <t>Shine systems EasyFinish - мелкоабразивная полировальная паста, 200 мл SS585</t>
  </si>
  <si>
    <t>SS585</t>
  </si>
  <si>
    <t>Shine Systems AntiGraffiti деликатный очиститель краски, клея, скотча, 750 мл SS830</t>
  </si>
  <si>
    <t>SS830</t>
  </si>
  <si>
    <t>Shine systems Glass Applicator - аппликатор для чистки стекла и хрома 654 см SS590</t>
  </si>
  <si>
    <t>SS590</t>
  </si>
  <si>
    <t>Shine systems AbrasivePrep - абразивный очиститель стекла, 200 мл SS579</t>
  </si>
  <si>
    <t>SS579</t>
  </si>
  <si>
    <t>Shine systems Bucket + Filter - ведро для мойки автомобиля c сепаратором, 20 л SS457</t>
  </si>
  <si>
    <t>SS457</t>
  </si>
  <si>
    <t>Shine systems Микрофибра для сушки кузова 50x80см easy dry max SS587</t>
  </si>
  <si>
    <t>SS587</t>
  </si>
  <si>
    <t>Shine systems FastPolish - среднеабразивная полировальная паста, 200 мл SS584</t>
  </si>
  <si>
    <t>SS584</t>
  </si>
  <si>
    <t>Shine systems Magic Sponge - губка меламиновая 963 см, 4шт. SS961</t>
  </si>
  <si>
    <t>SS961</t>
  </si>
  <si>
    <t>Shine systems PadCleaner - очиститель полировальных кругов, 750 мл SS527</t>
  </si>
  <si>
    <t>SS527</t>
  </si>
  <si>
    <t>Shine systems Tire&amp;Wheel Cleaner - очиститель резины и колес, 900 мл SS591</t>
  </si>
  <si>
    <t>SS591</t>
  </si>
  <si>
    <t>Shine systems GlassCut - полировальная паста для стекла, 200 мл SS578</t>
  </si>
  <si>
    <t>SS578</t>
  </si>
  <si>
    <t>Shine systems Glass Pad - войлочный круг для полировки стекла 75 мм SS588</t>
  </si>
  <si>
    <t>SS588</t>
  </si>
  <si>
    <t>Shine systems Terry Towel - универсальная микрофибра без оверлока 4040см, 6 шт SS582</t>
  </si>
  <si>
    <t>SS582</t>
  </si>
  <si>
    <t>Shine systems Матовый полироль для пластика салона AirLine PolishMatt, 400 мл SS430</t>
  </si>
  <si>
    <t>SS430</t>
  </si>
  <si>
    <t>Shine systems Гибридный полировальный круг 155 мм Hybrid Pad Shine Systems SS533</t>
  </si>
  <si>
    <t>SS533</t>
  </si>
  <si>
    <t>Shine systems Чернитель для резины матовый Shine Systems BlackStar Matt, 750 мл SS918</t>
  </si>
  <si>
    <t>SS918</t>
  </si>
  <si>
    <t>Shine systems Универсальное средство для химчистки Shine Systems InteriorCleaner, 750 мл SS865</t>
  </si>
  <si>
    <t>SS865</t>
  </si>
  <si>
    <t>Shine systems Easy dry double max - двуслойная микрофибра для сушки кузова 50x80см, 1200гр/м2 SS443</t>
  </si>
  <si>
    <t>SS443</t>
  </si>
  <si>
    <t>Shine Systems PinkFoam активный шампунь для бесконтактной мойки, 5 л SS775</t>
  </si>
  <si>
    <t>SS775</t>
  </si>
  <si>
    <t>Shine systems Очиститель дисков с индикатором Shine Systems IronOFF Gel, 750 мл SS753</t>
  </si>
  <si>
    <t>SS753</t>
  </si>
  <si>
    <t>Shine Systems GlassCleaner универсальный очиститель стекол, 750 мл SS903</t>
  </si>
  <si>
    <t>SS903</t>
  </si>
  <si>
    <t>Shine Systems MotorCleaner гель диэлектрик для мойки двигателя, 750 мл SS807</t>
  </si>
  <si>
    <t>SS807</t>
  </si>
  <si>
    <t>Shine systems Microfiber Pad - полировальный круг из микрофибры, 130 мм SS537</t>
  </si>
  <si>
    <t>SS537</t>
  </si>
  <si>
    <t>Shine systems Антидождь для стекла (10 мл+10 мл) NanoGlass Shine Systems SS100</t>
  </si>
  <si>
    <t>SS100</t>
  </si>
  <si>
    <t>Shine Systems Light активный шампунь для бесконтактной мойки, 900 мл SS931</t>
  </si>
  <si>
    <t>SS931</t>
  </si>
  <si>
    <t>Shine systems Nano polisher pad set - набор мини-падов для ibrid, 30 мм 7шт SS613</t>
  </si>
  <si>
    <t>SS613</t>
  </si>
  <si>
    <t>Shine Systems GlossyGlass экспресс очиститель стекол, 750 мл SS828</t>
  </si>
  <si>
    <t>SS828</t>
  </si>
  <si>
    <t>Shine Systems VinylMatt Cherry матовый полироль для пластика салона, 750 мл SS917</t>
  </si>
  <si>
    <t>SS917</t>
  </si>
  <si>
    <t>Shine systems Универсальный кислотный очиститель дисков Shine Systems AcidCleaner, 750 мл SS744</t>
  </si>
  <si>
    <t>SS744</t>
  </si>
  <si>
    <t>Shine systems ActiveFoam - активная пена для бесконтактной мойки, 20 кг SS640</t>
  </si>
  <si>
    <t>SS640</t>
  </si>
  <si>
    <t>Shine systems Microfiber Sponge – микрофибровый аппликатор для нанесения составов SS871</t>
  </si>
  <si>
    <t>SS871</t>
  </si>
  <si>
    <t>Shine systems GlassPolish - полировальная паста для стекла, 200 мл SS577</t>
  </si>
  <si>
    <t>SS577</t>
  </si>
  <si>
    <t>Shine Systems InsectOFF очиститель следов насекомых, 750 мл SS746</t>
  </si>
  <si>
    <t>SS746</t>
  </si>
  <si>
    <t>Shine systems Универсальный кислотный очиститель Shine Systems AcidCleaner, 5 л SS732</t>
  </si>
  <si>
    <t>SS732</t>
  </si>
  <si>
    <t>Shine Systems PreWash активный шампунь для бесконтактной мойки, 900 мл SS897</t>
  </si>
  <si>
    <t>SS897</t>
  </si>
  <si>
    <t>Shine systems BL GentleWash - деликатный шампунь для бесконтактной мойки, 750 мл SSBL993</t>
  </si>
  <si>
    <t>SSBL993</t>
  </si>
  <si>
    <t>Shine Systems SoftCleaner нейтральное средство для химчистки с кондиционером, 750 мл SS867</t>
  </si>
  <si>
    <t>SS867</t>
  </si>
  <si>
    <t>Shine systems PowerCut - крупноабразивная полировальная паста, 200 мл SS583</t>
  </si>
  <si>
    <t>SS583</t>
  </si>
  <si>
    <t>Shine Systems LeatherCare Kit набор для ухода за кожей SS809</t>
  </si>
  <si>
    <t>SS809</t>
  </si>
  <si>
    <t>Shine systems IPA PPF - спиртовой обезжириватель, 5 л SS716</t>
  </si>
  <si>
    <t>SS716</t>
  </si>
  <si>
    <t>Shine Systems Backing pad 75RO - подложка для ротационной машинки, 75 мм SS620</t>
  </si>
  <si>
    <t>SS620</t>
  </si>
  <si>
    <t>Shine systems Microfiber pad set - комплект микрофибровых кругов 50 мм, 3 шт SS466</t>
  </si>
  <si>
    <t>SS466</t>
  </si>
  <si>
    <t>Shine systems Кислотный шампунь для ручной мойки Shine Systems AcidShampoo, 750 мл SS650</t>
  </si>
  <si>
    <t>SS650</t>
  </si>
  <si>
    <t>Shine systems Black Line CrystalGlass летняя стеклоомывающая жидкость (Объем 200 мл) SSBL971</t>
  </si>
  <si>
    <t>SSBL971</t>
  </si>
  <si>
    <t>Shine systems Автошампунь для ручной мойки Shine Systems CherryBomb Shampoo, 5 л SS632</t>
  </si>
  <si>
    <t>SS632</t>
  </si>
  <si>
    <t>Shine systems Аппликатор с прорезью для керамики coating sponge SS901</t>
  </si>
  <si>
    <t>SS901</t>
  </si>
  <si>
    <t>Shine systems Шампунь для ручной мойки автомобиля BLACK LINE SlideShampoo Cola, 400 мл Shine Systems (Запах Колы) SSBL987</t>
  </si>
  <si>
    <t>SSBL987</t>
  </si>
  <si>
    <t>Shine Systems MotorCare консервант подкапотного пространства, 750 мл SS806</t>
  </si>
  <si>
    <t>SS806</t>
  </si>
  <si>
    <t>Shine systems Подложка для эксцентриковой машинки Shine Systems Backing pad 125DA, 125 мм SS615</t>
  </si>
  <si>
    <t>SS615</t>
  </si>
  <si>
    <t>Shine systems DA Foam Pad Green - полировальный круг экстра твердый зеленый, 75 мм SS565</t>
  </si>
  <si>
    <t>SS565</t>
  </si>
  <si>
    <t>Shine systems Очиститель водного камня с кузова и стекол Shine Systems WaterSpotOFF, 750 мл SS764</t>
  </si>
  <si>
    <t>SS764</t>
  </si>
  <si>
    <t>Shine Systems ActiveFoam активная пена для бесконтактной мойки, 1 кг SS788</t>
  </si>
  <si>
    <t>SS788</t>
  </si>
  <si>
    <t>Shine systems Шампунь для ручной мойки автомобиля BLACK LINE SlideShampoo 400 мл Shine Systems (Запах Банана) SSBL985</t>
  </si>
  <si>
    <t>SSBL985</t>
  </si>
  <si>
    <t>Shine systems Шампунь для бесконтактной мойки авто Shine Systems DelicateWash, 5 л SS644</t>
  </si>
  <si>
    <t>SS644</t>
  </si>
  <si>
    <t>Shine systems Шенилловая рукавица для мойки кузова Chenille Wash Mitt Shine Systems SS821</t>
  </si>
  <si>
    <t>SS821</t>
  </si>
  <si>
    <t>Shine systems Наношампунь для ручной мойки автомобиля Shine Systems CationicShampoo, 750 мл SS882</t>
  </si>
  <si>
    <t>SS882</t>
  </si>
  <si>
    <t>Shine systems Полироль для пластика и винила салона матовый Shine Systems Black Line PlasticMatt Invictus, 400 мл SSBL317</t>
  </si>
  <si>
    <t>SSBL317</t>
  </si>
  <si>
    <t>Shine systems Bamboo Brush XL - щетка для труднодоступных мест 40 см SS572</t>
  </si>
  <si>
    <t>SS572</t>
  </si>
  <si>
    <t>Shine systems Шампунь для ручной мойки автомобиля BLACK LINE SlideShampoo Apple, 400 мл Shine Systems (Запах Яблока) SSBL988</t>
  </si>
  <si>
    <t>SSBL988</t>
  </si>
  <si>
    <t>Shine systems DA Foam Pad Orange - полировальный круг мягкий оранжевый, 130 мм SS558</t>
  </si>
  <si>
    <t>SS558</t>
  </si>
  <si>
    <t>Shine systems DA Foam Pad Maroon - полировальный круг полутвердый бордовый, 130 мм SS559</t>
  </si>
  <si>
    <t>SS559</t>
  </si>
  <si>
    <t>Shine systems SuperStar - активный шампунь для бесконтактной мойки, 900 мл SS925</t>
  </si>
  <si>
    <t>SS925</t>
  </si>
  <si>
    <t>Shine systems Чернитель резины (глянец) Shine Systems BlackStar, 750 мл SS914</t>
  </si>
  <si>
    <t>SS914</t>
  </si>
  <si>
    <t>Shine systems Антидождь Shine Systems NanoGlass Kit (набор по уходу за стеклом) SS777</t>
  </si>
  <si>
    <t>SS777</t>
  </si>
  <si>
    <t>Shine Systems MultiTec активный шампунь для бесконтактной мойки, 20 кг SS927</t>
  </si>
  <si>
    <t>SS927</t>
  </si>
  <si>
    <t>Shine Systems Tire Brush - щетка для чистки покрышек SS843</t>
  </si>
  <si>
    <t>SS843</t>
  </si>
  <si>
    <t>Shine systems Clay bar - полировальная глина, 100 гр SS530</t>
  </si>
  <si>
    <t>SS530</t>
  </si>
  <si>
    <t>Shine systems Power Sponge - губка для удаления устойчивых загрязнений SS586</t>
  </si>
  <si>
    <t>SS586</t>
  </si>
  <si>
    <t>Shine systems Шампунь для бесконтактной мойки PreWash Shine Systems 20 л SS638</t>
  </si>
  <si>
    <t>SS638</t>
  </si>
  <si>
    <t>Shine systems Гибридный полировальный круг 75 мм Hybrid Pad Shine Systems SS535</t>
  </si>
  <si>
    <t>SS535</t>
  </si>
  <si>
    <t>Shine Systems Backing pad 25RO - подложка для ротационной машинки, 25 мм SS618</t>
  </si>
  <si>
    <t>SS618</t>
  </si>
  <si>
    <t>Shine systems Shine Systems CarWash Kit - набор для двухфазной мойки SS523</t>
  </si>
  <si>
    <t>SS523</t>
  </si>
  <si>
    <t>Shine systems Полировальный круг антиголограммный желтый Shine Systems DA Foam Pad Yellow, 155 мм SS554</t>
  </si>
  <si>
    <t>SS554</t>
  </si>
  <si>
    <t>Shine systems FilmON - установочный состав для пленок (Объем 750 мл) SS431</t>
  </si>
  <si>
    <t>SS431</t>
  </si>
  <si>
    <t>Shine systems DA15 Polisher - полировальная машинка эксцентриковая, 125 мм, ход 15 мм SS676</t>
  </si>
  <si>
    <t>SS676</t>
  </si>
  <si>
    <t>Shine systems Очиститель резины и колес Shine Systems Tire&amp;Wheel Cleaner, 5 л SS611</t>
  </si>
  <si>
    <t>SS611</t>
  </si>
  <si>
    <t>Shine Systems EngineWash очиститель двигателя и агрегатов, 5 л SS725</t>
  </si>
  <si>
    <t>SS725</t>
  </si>
  <si>
    <t>Shine systems Деликатный очиститель кожи Shine Systems LeatherCleaner, 750 мл SS833</t>
  </si>
  <si>
    <t>SS833</t>
  </si>
  <si>
    <t>Shine systems Смазка силиконовая для авто Silicon Shine Systems, 750 мл SS688</t>
  </si>
  <si>
    <t>SS688</t>
  </si>
  <si>
    <t>Shine systems Автошампунь для ручной мойки Shine Systems AcidShamPro Black Line, 400 мл SSBL963</t>
  </si>
  <si>
    <t>SSBL963</t>
  </si>
  <si>
    <t>Shine systems Nano polisher pad set - набор мини-падов для ibrid, 50 мм 7шт SS612</t>
  </si>
  <si>
    <t>SS612</t>
  </si>
  <si>
    <t>Shine systems Полироль для пластика салона матовый Shine Systems VinylMatt Wood (Запах дерева), 750 мл SS853</t>
  </si>
  <si>
    <t>SS853</t>
  </si>
  <si>
    <t>Shine systems Microfiber Pad - полировальный круг из микрофибры, 75 мм SS538</t>
  </si>
  <si>
    <t>SS538</t>
  </si>
  <si>
    <t>Shine systems Glass coat - защитное керамическое покрытие для стёкол, 50 мл SS448</t>
  </si>
  <si>
    <t>SS448</t>
  </si>
  <si>
    <t>Shine systems Шампунь для бесконтактной мойки авто Shine Systems DelicateWash, 750 мл SS643</t>
  </si>
  <si>
    <t>SS643</t>
  </si>
  <si>
    <t>Shine systems Dosatron - активный шампунь для бесконтактной мойки, 20 кг SS779</t>
  </si>
  <si>
    <t>SS779</t>
  </si>
  <si>
    <t>Shine systems Чернитель для резины матовый Shine Systems BlackStar Matt, 200 мл SS840</t>
  </si>
  <si>
    <t>SS840</t>
  </si>
  <si>
    <t>Shine Systems IPA антисиликон обезжириватель на спиртовой основе, 5 л SS904</t>
  </si>
  <si>
    <t>SS904</t>
  </si>
  <si>
    <t>Shine systems Black line taroff - профессиональный очиститель битумных пятен, 400 мл SSBL978</t>
  </si>
  <si>
    <t>SSBL978</t>
  </si>
  <si>
    <t>Shine systems Lint-Free Towel - безворсовая универсальная микрофибра стрейч 4040 см SS873</t>
  </si>
  <si>
    <t>SS873</t>
  </si>
  <si>
    <t>Shine systems Очиститель кузова от древесных смол Shine Systems ResinOFF, 5 л SS863</t>
  </si>
  <si>
    <t>SS863</t>
  </si>
  <si>
    <t>Shine systems Полировальный круг мягкий оранжевый 155 мм RO Foam Pad Orange Shine Systems SS544</t>
  </si>
  <si>
    <t>SS544</t>
  </si>
  <si>
    <t>Shine Systems PowerCut крупноабразивная полировальная паста, 750 мл SS636</t>
  </si>
  <si>
    <t>SS636</t>
  </si>
  <si>
    <t>Shine systems TOP Coat 2.0 - гидрофобное керамическое покрытие для кузова (Обьем 50 мл) SS407</t>
  </si>
  <si>
    <t>SS407</t>
  </si>
  <si>
    <t>Shine systems Полировальный круг твердый зеленый 75 мм RO Foam Pad Green Shine Systems SS552</t>
  </si>
  <si>
    <t>SS552</t>
  </si>
  <si>
    <t>Shine systems EngineWash - очиститель двигателя и агрегатов, 20 кг SS724</t>
  </si>
  <si>
    <t>SS724</t>
  </si>
  <si>
    <t>Shine systems Ароматизатор для автомобиля и дома Shine Systems AroMatt IntoYou, 200 мл SS888</t>
  </si>
  <si>
    <t>SS888</t>
  </si>
  <si>
    <t>Shine systems Щетка для чистки дисков Shine Systems Rim Brush L, 43*6,5 см SS575</t>
  </si>
  <si>
    <t>SS575</t>
  </si>
  <si>
    <t>Shine systems Антигравийная защитная полиуретановая пленка для авто с мягким топом, 1,52*15м 190мкм Shine Systems SS436</t>
  </si>
  <si>
    <t>SS436</t>
  </si>
  <si>
    <t>Shine systems Очиститель от насекомых для авто AirLine Bugoff 400 мл SS442</t>
  </si>
  <si>
    <t>SS442</t>
  </si>
  <si>
    <t>Shine systems Glass Pad - войлочный круг для полировки стекла 125 мм SS589</t>
  </si>
  <si>
    <t>SS589</t>
  </si>
  <si>
    <t>Shine systems Detailing Brush N18 - деликатная кисть для детейлинга большая SS845</t>
  </si>
  <si>
    <t>SS845</t>
  </si>
  <si>
    <t>Shine systems Cредство для ухода за интерьером Shine Systems BLACK LINE InteriorDetailer Macadamia, 5 л SSBL994</t>
  </si>
  <si>
    <t>SSBL994</t>
  </si>
  <si>
    <t>Shine systems Полировальный круг твердый лиловый Shine Systems DA Foam Pad Purple, 75 мм SS564</t>
  </si>
  <si>
    <t>SS564</t>
  </si>
  <si>
    <t>Shine systems Полироль для пластика и винила салона матовый Shine Systems Black Line PlasticMatt Invictus, 5 л SSBL966</t>
  </si>
  <si>
    <t>SSBL966</t>
  </si>
  <si>
    <t>Shine systems Антигравийная защитная полиуретановая пленка для авто PPF TPU-215 Hard SS434</t>
  </si>
  <si>
    <t>SS434</t>
  </si>
  <si>
    <t>Shine systems Полировальная машинка ротационная Shine Systems RO Polisher 1100 Вт, 125 мм SS677</t>
  </si>
  <si>
    <t>SS677</t>
  </si>
  <si>
    <t>Shine systems Очиститель дисков с индикатором Shine Systems IronOFF GeL, 5 л SS754</t>
  </si>
  <si>
    <t>SS754</t>
  </si>
  <si>
    <t>Shine systems Полировальный круг из серого меха 130 мм Gray Wool Pad Shine Systems SS531</t>
  </si>
  <si>
    <t>SS531</t>
  </si>
  <si>
    <t>Shine systems Нейтральное средство для химчистки с кондиционером Shine Systems SoftCleaner, 5 л SS866</t>
  </si>
  <si>
    <t>SS866</t>
  </si>
  <si>
    <t>Shine systems Stripy Wool Pad - полировальный круг из стриженого меха, 75 мм SS543</t>
  </si>
  <si>
    <t>SS543</t>
  </si>
  <si>
    <t>Shine systems Защитный воск Карнауба Shine Systems Carnauba WAX, 200 мл SS985</t>
  </si>
  <si>
    <t>SS985</t>
  </si>
  <si>
    <t>Shine systems Шампунь для стирки микрофибры Shine Systems FiberShampoo, 750 мл SS829</t>
  </si>
  <si>
    <t>SS829</t>
  </si>
  <si>
    <t>Shine systems Очиститель стекла от пасты Shine Systems AbrasiveOFF, 200 мл SS580</t>
  </si>
  <si>
    <t>SS580</t>
  </si>
  <si>
    <t>Shine systems Black line coco - ароматизатор для авто и дома, 50 мл SSBL979</t>
  </si>
  <si>
    <t>SSBL979</t>
  </si>
  <si>
    <t>Shine systems Полировальный круг ультрамягкий черный Shine Systems DA Foam Pad Black, 155 мм SS553</t>
  </si>
  <si>
    <t>SS553</t>
  </si>
  <si>
    <t>Shine systems Антигравийная защитная полиуретановая пленка для авто PPF TPU-190 Premium SS433</t>
  </si>
  <si>
    <t>SS433</t>
  </si>
  <si>
    <t>Shine systems Деликатный очиститель от клея, скотчей, краски, тонировки AirLine AntiGlue 400 мл SS940</t>
  </si>
  <si>
    <t>SS940</t>
  </si>
  <si>
    <t>Shine systems Матовый полироль для пластика салона Shine Systems VinylMatt Cherry, 5 л SS858</t>
  </si>
  <si>
    <t>SS858</t>
  </si>
  <si>
    <t>Shine systems Полировальный круг из стриженого меха Shine Systems Stripy Wool Pad, 130 мм SS542</t>
  </si>
  <si>
    <t>SS542</t>
  </si>
  <si>
    <t>Shine systems Гель-диэлектрик для мойки двигателя Shine Systems MotorCleaner, 5 л SS805</t>
  </si>
  <si>
    <t>SS805</t>
  </si>
  <si>
    <t>Shine systems Установочный гель для пленок Shine Systems PPF Gel, 5 л SS628</t>
  </si>
  <si>
    <t>SS628</t>
  </si>
  <si>
    <t>Shine systems Black Line Siena - ароматизатор для авто и дома (Обьем 50 мл) SSBL975</t>
  </si>
  <si>
    <t>SSBL975</t>
  </si>
  <si>
    <t>Shine systems Ароматизатор для автомобиля и дома Shine Systems AroMatt Magic, 200 мл SS862</t>
  </si>
  <si>
    <t>SS862</t>
  </si>
  <si>
    <t>Shine systems Полировальный круг полутвердый желтый Shine Systems RO Foam Pad Yellow 75 мм SS551</t>
  </si>
  <si>
    <t>SS551</t>
  </si>
  <si>
    <t>Shine systems Бесспиртовой очиститель стекол, зеркал, хрома Perfect Glass Black Line Shine Systems, 5 л SSBL970</t>
  </si>
  <si>
    <t>SSBL970</t>
  </si>
  <si>
    <t>Shine systems Наноконсервант для сушки и защиты кузова Shine Systems GlossProtection, 750 мл SS881</t>
  </si>
  <si>
    <t>SS881</t>
  </si>
  <si>
    <t>Shine systems BL InteriorDetailer Bergamot - средство для ухода за интерьером, 400 мл SSBL999</t>
  </si>
  <si>
    <t>SSBL999</t>
  </si>
  <si>
    <t>Shine systems Полировальный круг из черного меха 155 мм Black Wool Pad Shine Systems SS539</t>
  </si>
  <si>
    <t>SS539</t>
  </si>
  <si>
    <t>Shine systems Кислотный шампунь для ручной мойки Shine Systems AcidShampoo, 5 л SS651</t>
  </si>
  <si>
    <t>SS651</t>
  </si>
  <si>
    <t>Shine systems Полировальный круг твердый зеленый 155 мм RO Foam Pad Green Shine Systems SS546</t>
  </si>
  <si>
    <t>SS546</t>
  </si>
  <si>
    <t>Shine systems Мощный очиститель от клея и краски Shine Systems Glue&amp;StainRemover, 750 мл SS878</t>
  </si>
  <si>
    <t>SS878</t>
  </si>
  <si>
    <t>Shine systems Антисиликоновый обезжириватель Shine Systems Check&amp;Prep, 750 мл SS734</t>
  </si>
  <si>
    <t>SS734</t>
  </si>
  <si>
    <t>Shine Systems Wheel Brush - щетка для чистки дисков с мягкой щетиной SS574</t>
  </si>
  <si>
    <t>SS574</t>
  </si>
  <si>
    <t>Shine systems Полировальный круг мягкий оранжевый 130 мм RO Foam Pad Orange Shine Systems SS547</t>
  </si>
  <si>
    <t>SS547</t>
  </si>
  <si>
    <t>Shine systems Ручной автошампунь гидрофобный Shine Systems LollipopShampoo, 750 мл SS720</t>
  </si>
  <si>
    <t>SS720</t>
  </si>
  <si>
    <t>Shine systems Turbo Car Dryer SNGL - турбосушка однотурбинная с подогревом 2800Вт SS610</t>
  </si>
  <si>
    <t>ss610</t>
  </si>
  <si>
    <t>Shine systems Ручной автошампунь с эффектом леденца Shine Systems LollipopShampoo, 5 л SS721</t>
  </si>
  <si>
    <t>SS721</t>
  </si>
  <si>
    <t>Shine systems Ароматизатор для автомобиля и дома Shine Systems AroMatt Opulent, 200 мл SS886</t>
  </si>
  <si>
    <t>SS886</t>
  </si>
  <si>
    <t>Shine systems Nitrile Gloves Diamond - ультрапрочные нитриловые перчатки, 100шт (Размер XL) SS415</t>
  </si>
  <si>
    <t>SS415</t>
  </si>
  <si>
    <t>Shine systems Автошампунь для ручной мойки Shine Systems CherryBomb Shampoo, 20 л SS633</t>
  </si>
  <si>
    <t>SS633</t>
  </si>
  <si>
    <t>Shine systems Полировальный круг из лилового меха 130 мм Lila Wool Pad Shine Systems SS567</t>
  </si>
  <si>
    <t>SS567</t>
  </si>
  <si>
    <t>Shine systems Полироль для пластика и винила салона матовый Shine Systems Black Line PlasticMatt Lacost, 400 мл SSBL965</t>
  </si>
  <si>
    <t>SSBL965</t>
  </si>
  <si>
    <t>Shine systems Clay glove - рукавица автоскраб SS730</t>
  </si>
  <si>
    <t>SS730</t>
  </si>
  <si>
    <t>Shine systems Полировальный круг антиголограммный желтый Shine Systems DA Foam Pad Yellow, 75 мм SS563</t>
  </si>
  <si>
    <t>SS563</t>
  </si>
  <si>
    <t>Shine systems Подложка для ротационной машинки Shine Systems Backing pad 50RO, 50 мм SS619</t>
  </si>
  <si>
    <t>SS619</t>
  </si>
  <si>
    <t>Shine Systems Buffing Towel - микрофибра для располировки составов 40*40см SS884</t>
  </si>
  <si>
    <t>SS884</t>
  </si>
  <si>
    <t>Shine systems Очиститель ковров и напольных покрытий Shine Systems CarpetCleaner, 5 л SS739</t>
  </si>
  <si>
    <t>SS739</t>
  </si>
  <si>
    <t>Shine systems Flex back plate ro150 - гибкая подложка для ротационной машинки 150 мм SS462</t>
  </si>
  <si>
    <t>SS462</t>
  </si>
  <si>
    <t>Shine systems Активный шампунь для бесконтактной мойки Shine Systems EuroWash, 5 л SS937</t>
  </si>
  <si>
    <t>SS937</t>
  </si>
  <si>
    <t>Shine systems Пенное кварцевое покрытие AirLine QuartzFoam Shine Systems, 400 мл SS006</t>
  </si>
  <si>
    <t>SS006</t>
  </si>
  <si>
    <t>Shine systems Ароматизатор для автомобиля и дома Shine Systems AroMatt Afgano, 200 мл SS768</t>
  </si>
  <si>
    <t>SS768</t>
  </si>
  <si>
    <t>Shine systems Black line invictus - ароматизатор для авто и дома, 50 мл SSBL982</t>
  </si>
  <si>
    <t>SSBL982</t>
  </si>
  <si>
    <t>Shine Systems EasyFinish мелкоабразивная полировальная паста, 750 мл SS634</t>
  </si>
  <si>
    <t>SS634</t>
  </si>
  <si>
    <t>Shine systems Перчатки защитные нитриловые неопудренные Nitrile Gloves, размер XL, черные, 100 шт (50 пар) SS412</t>
  </si>
  <si>
    <t>SS412</t>
  </si>
  <si>
    <t>Shine systems Black Line Belle - ароматизатор для авто и дома (Обьем 50 мл) SSBL976</t>
  </si>
  <si>
    <t>SSBL976</t>
  </si>
  <si>
    <t>Shine systems Top coat - гидрофобное керамическое покрытие для кузова, 50 мл SS451</t>
  </si>
  <si>
    <t>SS451</t>
  </si>
  <si>
    <t>Shine systems Black Line Black Vanilla - ароматизатор для авто и дома (Обьем 50 мл) SSBL973</t>
  </si>
  <si>
    <t>SSBL973</t>
  </si>
  <si>
    <t>Shine systems Black line coolwater - ароматизатор для авто и дома, 50 мл SSBL981</t>
  </si>
  <si>
    <t>SSBL981</t>
  </si>
  <si>
    <t>Shine systems Полировальный круг из микрофибры 155 мм Microfiber Pad Shine Systems SS536</t>
  </si>
  <si>
    <t>SS536</t>
  </si>
  <si>
    <t>Shine systems Антигравийная защитная полиуретановая пленка для авто PPF TPU-190 Hard Matt SS409</t>
  </si>
  <si>
    <t>SS409</t>
  </si>
  <si>
    <t>Shine systems Очиститель универсальный для авто Shine Systems QuickDetailer Fresh, 5 л SS318</t>
  </si>
  <si>
    <t>SS318</t>
  </si>
  <si>
    <t>Shine systems Pad cleaning brush - щетка для чистки полировальных кругов SS464</t>
  </si>
  <si>
    <t>SS464</t>
  </si>
  <si>
    <t>Shine Systems PinkFoam активный шампунь для бесконтактной мойки, 750 мл SS719</t>
  </si>
  <si>
    <t>SS719</t>
  </si>
  <si>
    <t>Shine systems Перчатки защитные нитриловые неопудренные Nitrile Gloves, размер M, черные, 100 шт (50 пар) SS414</t>
  </si>
  <si>
    <t>SS414</t>
  </si>
  <si>
    <t>Shine systems Нейтрализатор запахов StinkOFF Shine Systems, 750 мл SS435</t>
  </si>
  <si>
    <t>SS435</t>
  </si>
  <si>
    <t>Shine systems Лубрикант для работы с глиной и автоскрабами Shine Systems Lubricant, 5 л SS874</t>
  </si>
  <si>
    <t>SS874</t>
  </si>
  <si>
    <t>Shine systems Перчатки нитриловые высокопрочные, размер "l", цвет черный 100 шт ss413</t>
  </si>
  <si>
    <t>SS413</t>
  </si>
  <si>
    <t>Shine Systems NanoGlass – защитное нанопокрытие для стекол K1(200мл) + K2(200мл) SS826</t>
  </si>
  <si>
    <t>SS826</t>
  </si>
  <si>
    <t>Shine systems Полировальный круг из лилового меха 155 мм Lila Wool Pad Shine Systems SS566</t>
  </si>
  <si>
    <t>SS566</t>
  </si>
  <si>
    <t>Shine systems UniversalWax воск для автоматических и ручных моек (Объем 5 л) SS438</t>
  </si>
  <si>
    <t>SS438</t>
  </si>
  <si>
    <t>Shine systems Black Line MultiCleaner - универсальное средство для химчистки (Объем 400 мл) SSBL977</t>
  </si>
  <si>
    <t>SSBL977</t>
  </si>
  <si>
    <t>Shine systems Ppf protect - защитное керамическое покрытие для пленок, 50 мл SS449</t>
  </si>
  <si>
    <t>SS449</t>
  </si>
  <si>
    <t>Shine systems PreWash Active - активный шампунь для бесконтактной мойки, 20 кг SS759</t>
  </si>
  <si>
    <t>SS759</t>
  </si>
  <si>
    <t>Shine systems Black line olympea - ароматизатор для авто и дома, 50 мл SSBL980</t>
  </si>
  <si>
    <t>SSBL980</t>
  </si>
  <si>
    <t>Shine systems Cotton wool pad - полировальный круг мех с хлопком 130 мм SS468</t>
  </si>
  <si>
    <t>SS468</t>
  </si>
  <si>
    <t>Shine systems Гибридный стриженый мех с терморегулирующим слоем Shine Systems Cool Wool Pad, 130 мм SS267</t>
  </si>
  <si>
    <t>SS267</t>
  </si>
  <si>
    <t>Shine systems Автошампунь для бесконтактной мойки EcoFoam Shine Systems 5 л SS941</t>
  </si>
  <si>
    <t>SS941</t>
  </si>
  <si>
    <t>Shine systems Кондиционер для шин и резины Shine Systems BlackTire, 750 мл SS733</t>
  </si>
  <si>
    <t>SS733</t>
  </si>
  <si>
    <t>Shine systems Ароматизатор для автомобиля и дома Shine Systems AroMatt Creed, 200 мл SS767</t>
  </si>
  <si>
    <t>SS767</t>
  </si>
  <si>
    <t>Shine systems Ароматизатор для автомобиля и дома Shine Systems AroMatt Desire, 200 мл SS887</t>
  </si>
  <si>
    <t>SS887</t>
  </si>
  <si>
    <t>Shine systems Полировальный круг твердый лиловый Shine Systems DA Foam Pad Purple, 155 мм SS555</t>
  </si>
  <si>
    <t>SS555</t>
  </si>
  <si>
    <t>Shine systems Pad cleaning spur - шпора для чистки полировальных кругов из меха SS463</t>
  </si>
  <si>
    <t>SS463</t>
  </si>
  <si>
    <t>Shine systems Наноконсервант для сушки и защиты кузова Shine Systems GlossProtection, 5 л SS880</t>
  </si>
  <si>
    <t>SS880</t>
  </si>
  <si>
    <t>Shine systems Активный шампунь для бесконтактной мойки Shine Systems EuroWash, 900 мл SS939</t>
  </si>
  <si>
    <t>SS939</t>
  </si>
  <si>
    <t>Shine systems Cotton wool pad - полировальный круг мех с хлопком 155 мм SS469</t>
  </si>
  <si>
    <t>SS469</t>
  </si>
  <si>
    <t>Shine systems Полировальный круг мягкий оранжевый 75 мм RO Foam Pad Orange Shine Systems SS550</t>
  </si>
  <si>
    <t>SS550</t>
  </si>
  <si>
    <t>Shine systems Очиститель универсальный для авто Shine Systems QuickDetailer Banana, 5 л SS459</t>
  </si>
  <si>
    <t>SS459</t>
  </si>
  <si>
    <t>Shine systems Hybrid coat - защитное гидрофобное покрытие для кузова, 50 мл SS450</t>
  </si>
  <si>
    <t>SS450</t>
  </si>
  <si>
    <t>Shine systems Шампунь для ручной мойки автомобиля Shine Systems BLACK LINE SlideShampoo Apple, 5 л SSBL989</t>
  </si>
  <si>
    <t>SSBL989</t>
  </si>
  <si>
    <t>Shine systems Очиститель битумных пятен и смолы антибитум Shine Systems BitumOFF, 750 мл SS913</t>
  </si>
  <si>
    <t>SS913</t>
  </si>
  <si>
    <t>Shine systems Полировальный круг полутвердый желтый 155 мм RO Foam Pad Yellow Shine Systems SS545</t>
  </si>
  <si>
    <t>SS545</t>
  </si>
  <si>
    <t>Shine systems Чернитель для резины матовый Shine Systems BlackStar Matt, 5 л SS944</t>
  </si>
  <si>
    <t>SS944</t>
  </si>
  <si>
    <t>Shine systems Матовый полироль для пластика салона Shine Systems VinylMatt Wood, 5 л SS849</t>
  </si>
  <si>
    <t>SS849</t>
  </si>
  <si>
    <t>Shine systems Полироль для винила и пластика глянцевый Shine Systems VinylGloss, 750 мл SS820</t>
  </si>
  <si>
    <t>SS820</t>
  </si>
  <si>
    <t>Shine systems Чернитель резины Shine Systems BlackStar, 5 л SS942</t>
  </si>
  <si>
    <t>SS942</t>
  </si>
  <si>
    <t>Shine systems Активный шампунь для бесконтактной мойки ActiveBase Shine Systems, 5 л SS748</t>
  </si>
  <si>
    <t>SS748</t>
  </si>
  <si>
    <t>Shine systems Rim Brush XL - щетка для чистки дисков 4310 см SS576</t>
  </si>
  <si>
    <t>SS737</t>
  </si>
  <si>
    <t>Shine systems Пленка антигравийная полиуретановая для авто PPF TPU-190 Black (черная), 1,52*15м 190мкм SS241</t>
  </si>
  <si>
    <t>SS241</t>
  </si>
  <si>
    <t>Shine systems Гидрофобное керамическое покрытие для кузова Shine Systems TOP Coat, 30 мл (набор) SS479</t>
  </si>
  <si>
    <t>SS479</t>
  </si>
  <si>
    <t>Shine systems Консервант подкапотного пространства Shine Systems MotorCare, 5 л SS815</t>
  </si>
  <si>
    <t>SS815</t>
  </si>
  <si>
    <t>Shine systems Очиститель универсальный для авто Shine Systems QuickDetailer, 5 л SS850</t>
  </si>
  <si>
    <t>SS850</t>
  </si>
  <si>
    <t>Shine systems Протирочные салфетки WipeOFF 33*35 (рулон 1000 шт) SS803</t>
  </si>
  <si>
    <t>SS803</t>
  </si>
  <si>
    <t>Shine systems Универсальное средство для химчистки InteriorCleaner Shine Systems, 5 л SS932</t>
  </si>
  <si>
    <t>SS932</t>
  </si>
  <si>
    <t>Shine systems Автошампунь для бесконтактной мойки / активная пена Shine Systems PinkFoam 20 кг SS785</t>
  </si>
  <si>
    <t>SS785</t>
  </si>
  <si>
    <t>Shine systems Активный шампунь для бесконтактной мойки Shine Systems PreWash, 5 л SS810</t>
  </si>
  <si>
    <t>SS810</t>
  </si>
  <si>
    <t>Shine systems Подложка для ротационной машинки Shine Systems Backing pad 125RO, 125 мм SS621</t>
  </si>
  <si>
    <t>SS621</t>
  </si>
  <si>
    <t>Shine systems Подложка для эксцентриковой машинки Shine Systems Backing pad 150DA, 150 мм SS614</t>
  </si>
  <si>
    <t>SS614</t>
  </si>
  <si>
    <t>Shine systems AirLine PolishGlanz - глянцевый полироль пластика, 400 мл SS429</t>
  </si>
  <si>
    <t>SS429</t>
  </si>
  <si>
    <t>Shine systems Полировальный круг экстра твердый зеленый Shine Systems DA Foam Pad Green, 130 мм SS562</t>
  </si>
  <si>
    <t>SS562</t>
  </si>
  <si>
    <t>Shine systems Установочный гель Shine Systems PPF Gel, 750 мл SS629</t>
  </si>
  <si>
    <t>SS629</t>
  </si>
  <si>
    <t>Shine systems Универсальный очиститель стекол Shine Systems GlassCleaner, 5 л SS934</t>
  </si>
  <si>
    <t>SS934</t>
  </si>
  <si>
    <t>Shine systems Clay pad - круг автоскраб, 150 мм SS729</t>
  </si>
  <si>
    <t>SS729</t>
  </si>
  <si>
    <t>Shine systems Mosquitoff concentrate - очиститель следов насекомых (обьем 5л) SS447</t>
  </si>
  <si>
    <t>SS447</t>
  </si>
  <si>
    <t>Shine systems Полировальный круг экстра твердый зеленый Shine Systems DA Foam Pad Green, 155 мм SS556</t>
  </si>
  <si>
    <t>SS556</t>
  </si>
  <si>
    <t>Shine systems Пенный стеклоочиститель AirLine GlassShine, 400 мл SS426</t>
  </si>
  <si>
    <t>SS426</t>
  </si>
  <si>
    <t>Shine systems Средство для ухода за интерьером Shine Systems BLACK LINE InteriorDetailer Pineapple, 5 л SSBL995</t>
  </si>
  <si>
    <t>SSBL995</t>
  </si>
  <si>
    <t>Shine systems Полировальный круг из черного меха Shine Systems Black Wool Pad, 130 мм SS623</t>
  </si>
  <si>
    <t>SS623</t>
  </si>
  <si>
    <t>Shine systems HYBRID Coat 2.0 - защитное гидрофобное покрытие для кyзовa (Объем 50 мл) SS408</t>
  </si>
  <si>
    <t>SS408</t>
  </si>
  <si>
    <t>Shine systems Полировальный круг ультрамягкий черный Shine Systems DA Foam Pad Black, 130 мм SS557</t>
  </si>
  <si>
    <t>SS557</t>
  </si>
  <si>
    <t>Shine systems Роторная полировальная мини машинка (НАБОР) RO Mini Polisher set Shine Systems SS624</t>
  </si>
  <si>
    <t>SS624</t>
  </si>
  <si>
    <t>Shine systems Полировальный круг антиголограммный желтый Shine Systems DA Foam Pad Yellow, 130 мм SS560</t>
  </si>
  <si>
    <t>SS560</t>
  </si>
  <si>
    <t>Shine systems Полировальная машинка эксцентриковая Shine Systems DA75 Polisher, 75 мм, ход 12 мм SS675</t>
  </si>
  <si>
    <t>SS675</t>
  </si>
  <si>
    <t>Shine systems Гелевое чернение шин Shine Systems Black Line TireEssence Gel 400 мл SSBL961</t>
  </si>
  <si>
    <t>SSBL961</t>
  </si>
  <si>
    <t>Shine systems Cупервпитывающая микрофибра для сушки кузова Super Dry Towel 50*60см, 800 гр/м2 Shine Systems SS990</t>
  </si>
  <si>
    <t>SS990</t>
  </si>
  <si>
    <t>Shine systems Апельсиновый очиститель Shine Systems CitrusCleaner, 200 мл SS831</t>
  </si>
  <si>
    <t>SS831</t>
  </si>
  <si>
    <t>Shine systems Шампунь для ручной мойки автомобиля BLACK LINE SlideShampoo Banana (запах Банан), 5 л SSBL984</t>
  </si>
  <si>
    <t>SSBL984</t>
  </si>
  <si>
    <t>Shine Systems IronOFF бескислотный очиститель дисков с индикатором, 5 л SS900</t>
  </si>
  <si>
    <t>SS900</t>
  </si>
  <si>
    <t>Shine Systems FastPolish среднеабразивная полировальная паста, 750 мл SS635</t>
  </si>
  <si>
    <t>SS635</t>
  </si>
  <si>
    <t>Shine systems VinylMatt Wood - матовый полироль для пластика салона, 200 мл SS823</t>
  </si>
  <si>
    <t>SS823</t>
  </si>
  <si>
    <t>Shine systems DA Foam Pad Purple - полировальный круг твердый лиловый, 130 мм SS561</t>
  </si>
  <si>
    <t>SS561</t>
  </si>
  <si>
    <t>Shine systems Средство для ухода за интерьером Shine Systems BLACK LINE InteriorDetailer Pineapple, 400 мл SSBL998</t>
  </si>
  <si>
    <t>SSBL998</t>
  </si>
  <si>
    <t>Shine Systems Backing pad 75DA - подложка для эксцентриковой машинки, 75 мм SS616</t>
  </si>
  <si>
    <t>SS616</t>
  </si>
  <si>
    <t>Shine systems Полировальный круг из желтого меха Shine Systems Yellow Wool Pad, 155 мм SS266</t>
  </si>
  <si>
    <t>SS266</t>
  </si>
  <si>
    <t>Shine systems Ароматизатор для автомобиля и дома Shine Systems AroMatt Sunset, 200 мл SS851</t>
  </si>
  <si>
    <t>SS851</t>
  </si>
  <si>
    <t>Shine systems Кондиционер для шин BlackTire Shine Systems 5 л SS731</t>
  </si>
  <si>
    <t>SS731</t>
  </si>
  <si>
    <t>Shine systems Войлочный круг для полировки стекла Shine Systems Glass Pad, 130 мм SS776</t>
  </si>
  <si>
    <t>SS776</t>
  </si>
  <si>
    <t>Shine systems Искусственная замша с перфорацией 300 гр/м2 Shine Systems SS861</t>
  </si>
  <si>
    <t>SS861</t>
  </si>
  <si>
    <t>Shine systems Защитное гидрофобное покрытие для кузова HYBRID Coat Shine Systems 30 мл (набор) SS478</t>
  </si>
  <si>
    <t>SS478</t>
  </si>
  <si>
    <t>Shine systems Средство для ухода за интерьером Shine Systems BLACK LINE InteriorDetailer Bergamot, 5 л SSBL996</t>
  </si>
  <si>
    <t>SSBL996</t>
  </si>
  <si>
    <t>Shine systems Полировальный круг из черного меха 75 мм Black Wool Pad Shine Systems SS540</t>
  </si>
  <si>
    <t>SS540</t>
  </si>
  <si>
    <t>Shine systems Силиконовая смазка для авто Shine Systems Silicon, 200 мл SS847</t>
  </si>
  <si>
    <t>SS847</t>
  </si>
  <si>
    <t>Shine systems Coating Suede замша - для нанесения керамики 10x10см (Комплект 10 шт) SS418</t>
  </si>
  <si>
    <t>SS418</t>
  </si>
  <si>
    <t>Shine systems Flex back plate ro125 - гибкая подложка для ротационной машинки 125 мм SS461</t>
  </si>
  <si>
    <t>SS461</t>
  </si>
  <si>
    <t>Shine systems Шампунь для бесконтактной мойки/активная пена MultiWash Shine Systems 20 кг SS742</t>
  </si>
  <si>
    <t>SS742</t>
  </si>
  <si>
    <t>Shine systems Очиститель кузова от следов насекомых Shine Systems InsectOFF, 5 л SS745</t>
  </si>
  <si>
    <t>SS745</t>
  </si>
  <si>
    <t>Shine systems DA21 Polisher - полировальная машинка эксцентриковая, 150 мм, ход 21 мм SS674</t>
  </si>
  <si>
    <t>SS674</t>
  </si>
  <si>
    <t>Shine systems AirLine BitumRemover - универсальный очиститель смол, битума, реагентов, 400 мл SS428</t>
  </si>
  <si>
    <t>SS428</t>
  </si>
  <si>
    <t>Shine systems Насадка на инструмент/Мягкая щетка для шуруповерта Drill Brush Shine Systems, 100 мм SS439</t>
  </si>
  <si>
    <t>SS439</t>
  </si>
  <si>
    <t>Shine systems BL InteriorDetailer Macadamia - средство для ухода за интерьером, 400 мл SSBL997</t>
  </si>
  <si>
    <t>SSBL997</t>
  </si>
  <si>
    <t>Shine systems Концентрат стеклоомывающей жидкости зимний Shine Systems AntiFrost, 750 мл SS662</t>
  </si>
  <si>
    <t>SS662</t>
  </si>
  <si>
    <t>Shine systems Наношампунь для ручной мойки автомобиля CationicShampoo Shine Systems, 5 л SS630</t>
  </si>
  <si>
    <t>SS630</t>
  </si>
  <si>
    <t>Shine systems Ароматизатор для автомобиля и дома Shine Systems AroMatt Wood, 200 мл SS872</t>
  </si>
  <si>
    <t>SS872</t>
  </si>
  <si>
    <t>Shine systems Полировальный круг из цветного меха 130 мм Unicorn Wool Pad Shine Systems SS532</t>
  </si>
  <si>
    <t>SS532</t>
  </si>
  <si>
    <t>Shine systems Шампунь для ручной мойки автомобиля Shine Systems BLACK LINE SlideShampoo Cola, 5 л SSBL986</t>
  </si>
  <si>
    <t>SSBL986</t>
  </si>
  <si>
    <t>Shine systems Carpet Brush - щетка для чистки напольных покрытий SS842</t>
  </si>
  <si>
    <t>SS842</t>
  </si>
  <si>
    <t>Shine systems Полировальный круг твердый зеленый 130 мм RO Foam Pad Green Shine Systems SS549</t>
  </si>
  <si>
    <t>SS549</t>
  </si>
  <si>
    <t>Shine systems AirLine TirePolish – чернение внешнего пластика и резины, 400 мл SS424</t>
  </si>
  <si>
    <t>SS424</t>
  </si>
  <si>
    <t>Shine systems Полировальный круг полутвердый желтый 130 мм RO Foam Pad Yellow Shine Systems SS548</t>
  </si>
  <si>
    <t>SS548</t>
  </si>
  <si>
    <t>Shine systems Полировальный круг из стриженого меха Shine Systems Stripy Wool Pad, 155 мм SS541</t>
  </si>
  <si>
    <t>SS541</t>
  </si>
  <si>
    <t>Shine systems Microfiber pad set - комплект микрофибровых кругов 30 мм, 5 шт SS465</t>
  </si>
  <si>
    <t>SS465</t>
  </si>
  <si>
    <t>Shine systems AirLine WheelCleaner очиститель колес, 400 мл SS425</t>
  </si>
  <si>
    <t>SS425</t>
  </si>
  <si>
    <t>Shine Systems QuickDetailer спрей очиститель для быстрого ухода, 750 мл SS852</t>
  </si>
  <si>
    <t>SS852</t>
  </si>
  <si>
    <t>Shine systems Полировальный круг из лилового меха 75 мм Lila Wool Pad Shine Systems SS568</t>
  </si>
  <si>
    <t>SS568</t>
  </si>
  <si>
    <t>Shine systems Универсальная химчистка Shine Systems AirLine UniversalCleaner, 400 мл SS427</t>
  </si>
  <si>
    <t>SS427</t>
  </si>
  <si>
    <t>Shine systems Спиртовой обезжириватель для авто Shine Systems IPA PPF, 750 мл SS723</t>
  </si>
  <si>
    <t>SS723</t>
  </si>
  <si>
    <t>Shine systems Искусственная желтая замша Suede Shine Systems, 40х50 см, 300 гр/м2 SS401</t>
  </si>
  <si>
    <t>SS401</t>
  </si>
  <si>
    <t>Shine systems Подложка для ротационной машинки Shine Systems Backing pad 150RO, 150 мм SS622</t>
  </si>
  <si>
    <t>SS622</t>
  </si>
  <si>
    <t>Shine systems Универсальная микрофибра Shine Systems Utility Towel, 30*30см (комплект 10шт) SS642</t>
  </si>
  <si>
    <t>SS642</t>
  </si>
  <si>
    <t>Shine systems Foamer - бутылка с пенообразователем для нейтральных составов, 150 мл SS813</t>
  </si>
  <si>
    <t>SS813</t>
  </si>
  <si>
    <t>Shine systems Nitrile Gloves Diamond - ультрапрочные нитриловые перчатки, 100шт (Размер M) SS417</t>
  </si>
  <si>
    <t>SS417</t>
  </si>
  <si>
    <t>Shine systems FilmON - установочный состав для пленок (Объем 5л) SS432</t>
  </si>
  <si>
    <t>SS432</t>
  </si>
  <si>
    <t>Shine systems Гибридный полировальный круг 130 мм Hybrid Pad Shine Systems SS534</t>
  </si>
  <si>
    <t>SS534</t>
  </si>
  <si>
    <t>Shine systems Cotton wool pad - полировальный круг мех с хлопком 75 мм SS467</t>
  </si>
  <si>
    <t>SS467</t>
  </si>
  <si>
    <t>Shine Systems BitumOFF терпеновый антибитум, 5 л SS948</t>
  </si>
  <si>
    <t>SS948</t>
  </si>
  <si>
    <t>Shine systems Black Line White Vanilla - ароматизатор для авто и дома (Обьем 50 мл) SSBL974</t>
  </si>
  <si>
    <t>SSBL974</t>
  </si>
  <si>
    <t>Shine systems Lubricant - лубрикант для работы с глиной и автоскрабами, 750 мл SS875</t>
  </si>
  <si>
    <t>SS875</t>
  </si>
  <si>
    <t>мм</t>
  </si>
  <si>
    <t>150</t>
  </si>
  <si>
    <t>400</t>
  </si>
  <si>
    <t>1</t>
  </si>
  <si>
    <t>220</t>
  </si>
  <si>
    <t>215</t>
  </si>
  <si>
    <t>20</t>
  </si>
  <si>
    <t>890</t>
  </si>
  <si>
    <t>70</t>
  </si>
  <si>
    <t>230</t>
  </si>
  <si>
    <t>190</t>
  </si>
  <si>
    <t>58</t>
  </si>
  <si>
    <t>32</t>
  </si>
  <si>
    <t>590</t>
  </si>
  <si>
    <t>210</t>
  </si>
  <si>
    <t>350</t>
  </si>
  <si>
    <t>225</t>
  </si>
  <si>
    <t>550</t>
  </si>
  <si>
    <t>170</t>
  </si>
  <si>
    <t>130</t>
  </si>
  <si>
    <t>250</t>
  </si>
  <si>
    <t>390</t>
  </si>
  <si>
    <t>255</t>
  </si>
  <si>
    <t>35</t>
  </si>
  <si>
    <t>290</t>
  </si>
  <si>
    <t>200</t>
  </si>
  <si>
    <t>10</t>
  </si>
  <si>
    <t>690</t>
  </si>
  <si>
    <t>45</t>
  </si>
  <si>
    <t>180</t>
  </si>
  <si>
    <t>850</t>
  </si>
  <si>
    <t>72</t>
  </si>
  <si>
    <t>50</t>
  </si>
  <si>
    <t>40</t>
  </si>
  <si>
    <t>160</t>
  </si>
  <si>
    <t>1790</t>
  </si>
  <si>
    <t>300</t>
  </si>
  <si>
    <t>380</t>
  </si>
  <si>
    <t>520</t>
  </si>
  <si>
    <t>80</t>
  </si>
  <si>
    <t>30</t>
  </si>
  <si>
    <t>120</t>
  </si>
  <si>
    <t>63</t>
  </si>
  <si>
    <t>490</t>
  </si>
  <si>
    <t>75</t>
  </si>
  <si>
    <t>1190</t>
  </si>
  <si>
    <t>46</t>
  </si>
  <si>
    <t>125</t>
  </si>
  <si>
    <t>85</t>
  </si>
  <si>
    <t>5</t>
  </si>
  <si>
    <t>60</t>
  </si>
  <si>
    <t>1090</t>
  </si>
  <si>
    <t>750</t>
  </si>
  <si>
    <t>14</t>
  </si>
  <si>
    <t>450</t>
  </si>
  <si>
    <t>990</t>
  </si>
  <si>
    <t>330</t>
  </si>
  <si>
    <t>4990</t>
  </si>
  <si>
    <t>340</t>
  </si>
  <si>
    <t>1550</t>
  </si>
  <si>
    <t>1990</t>
  </si>
  <si>
    <t>100</t>
  </si>
  <si>
    <t>2190</t>
  </si>
  <si>
    <t>430</t>
  </si>
  <si>
    <t>1490</t>
  </si>
  <si>
    <t>90</t>
  </si>
  <si>
    <t>15</t>
  </si>
  <si>
    <t>25</t>
  </si>
  <si>
    <t>260</t>
  </si>
  <si>
    <t>650</t>
  </si>
  <si>
    <t>790</t>
  </si>
  <si>
    <t>1590</t>
  </si>
  <si>
    <t>3190</t>
  </si>
  <si>
    <t>370</t>
  </si>
  <si>
    <t>4290</t>
  </si>
  <si>
    <t>37</t>
  </si>
  <si>
    <t>19900</t>
  </si>
  <si>
    <t>470</t>
  </si>
  <si>
    <t>2550</t>
  </si>
  <si>
    <t>1390</t>
  </si>
  <si>
    <t>88</t>
  </si>
  <si>
    <t>3490</t>
  </si>
  <si>
    <t>730</t>
  </si>
  <si>
    <t>3990</t>
  </si>
  <si>
    <t>4390</t>
  </si>
  <si>
    <t>64500</t>
  </si>
  <si>
    <t>2890</t>
  </si>
  <si>
    <t>70500</t>
  </si>
  <si>
    <t>15990</t>
  </si>
  <si>
    <t>3590</t>
  </si>
  <si>
    <t>95</t>
  </si>
  <si>
    <t>1690</t>
  </si>
  <si>
    <t>73500</t>
  </si>
  <si>
    <t>2690</t>
  </si>
  <si>
    <t>5290</t>
  </si>
  <si>
    <t>860</t>
  </si>
  <si>
    <t>217</t>
  </si>
  <si>
    <t>2490</t>
  </si>
  <si>
    <t>14900</t>
  </si>
  <si>
    <t>270</t>
  </si>
  <si>
    <t>3690</t>
  </si>
  <si>
    <t>5490</t>
  </si>
  <si>
    <t>2290</t>
  </si>
  <si>
    <t>1290</t>
  </si>
  <si>
    <t>79500</t>
  </si>
  <si>
    <t>4490</t>
  </si>
  <si>
    <t>2990</t>
  </si>
  <si>
    <t>3390</t>
  </si>
  <si>
    <t>320</t>
  </si>
  <si>
    <t>7990</t>
  </si>
  <si>
    <t>950</t>
  </si>
  <si>
    <t>240</t>
  </si>
  <si>
    <t>5390</t>
  </si>
  <si>
    <t>1620</t>
  </si>
  <si>
    <t>21990</t>
  </si>
  <si>
    <t>140</t>
  </si>
  <si>
    <t>620</t>
  </si>
  <si>
    <t>5690</t>
  </si>
  <si>
    <t>ТС «ВсеИнструменты.ру»</t>
  </si>
  <si>
    <t>Shine Systems пакет 38х45 см черный</t>
  </si>
  <si>
    <t>Shine Systems Glass Applicator - аппликатор для чистки стекла и хрома 6*5*4 см</t>
  </si>
  <si>
    <t>Shine Systems Plush Towel - плюшевая микрофибра для финишных работ 40*40см, 500 гр/м2</t>
  </si>
  <si>
    <t>Shine Systems Easy Dry Max Towel - супервпитывающая микрофибра для сушки кузова 50*80 см</t>
  </si>
  <si>
    <t>Shine Systems Terry Towel - универсальная микрофибра без оверлока 40*40см, 6 шт</t>
  </si>
  <si>
    <t>Shine Systems Bamboo Brush - щетка для труднодоступных мест 20 см</t>
  </si>
  <si>
    <t>Shine Systems Soft Wool Mitt - универсальная варежка-аппликатор из синтетической шерсти</t>
  </si>
  <si>
    <t>Shine Systems Ultra Soft Brush - ультрамягкая кисть для детейлинга</t>
  </si>
  <si>
    <t>Shine Systems Buffing Towel - микрофибра для располировки составов 40*40см</t>
  </si>
  <si>
    <t>Shine Systems Nitrile Gloves - защитные универсальные нитриловые неопудренные перчатки, размер "L", цвет черный 100 шт</t>
  </si>
  <si>
    <t>Shine Systems Bamboo Brush XL - щетка для труднодоступных мест 40 см</t>
  </si>
  <si>
    <t>Shine Systems Glass Towel - безворсовая микрофибра для стекол 40*40 см</t>
  </si>
  <si>
    <t>Shine Systems LeatherWipe - влажная салфетка для чистки кожи, 1 шт</t>
  </si>
  <si>
    <t>Shine Systems Power Sponge - губка для удаления устойчивых загрязнений</t>
  </si>
  <si>
    <t>Shine Systems Carnauba WAX - защитный воск Карнауба 200 мл</t>
  </si>
  <si>
    <t>Shine Systems Nitrile Gloves - защитные универсальные нитриловые неопудренные перчатки, размер "XL", цвет черный 100 шт</t>
  </si>
  <si>
    <t>Shine Systems Scrab Towel - микрофибра-скраб для химчистки 40*40см</t>
  </si>
  <si>
    <t>Shine Systems Mini Brush - мини щетка с натуральным ворсом</t>
  </si>
  <si>
    <t>Shine Systems Glass Pad - войлочный круг для полировки стекла 75 мм</t>
  </si>
  <si>
    <t>Shine Systems VinylMatt Wood - матовый полироль для пластика салона, 750 мл</t>
  </si>
  <si>
    <t>Shine Systems Backing pad 75RO - подложка для ротационной машинки, 75 мм</t>
  </si>
  <si>
    <t>Shine Systems Utility Towel - универсальная микрофибра 30*30см, 10шт</t>
  </si>
  <si>
    <t>Shine Systems Glass Pad - войлочный круг для полировки стекла 130 мм</t>
  </si>
  <si>
    <t>Shine Systems Black Line AcidShampPRO - кислотный шампунь для ручной мойки, 400 мл</t>
  </si>
  <si>
    <t>Shine Systems Suede - искусственная желтая замша 40*50см, 300 гр/м2</t>
  </si>
  <si>
    <t>Shine Systems Nitrile Gloves Diamond - текстурированные ультрапрочные нитриловые перчатки, размер "L", цвет оранжевый 100 шт</t>
  </si>
  <si>
    <t>Shine Systems Backing pad 125RO - подложка для ротационной машинки, 125 мм</t>
  </si>
  <si>
    <t>Shine Systems Black Wool Pad - полировальный круг из черного меха, 130 мм</t>
  </si>
  <si>
    <t>Shine Systems Magic Sponge - губка меламиновая 9*6*3 см, 4шт.</t>
  </si>
  <si>
    <t>Shine Systems Rim Brush L - щетка для чистки дисков 43*6,5 см</t>
  </si>
  <si>
    <t>Shine Systems VinylMatt Berry - матовый полироль для пластика салона, 750 мл</t>
  </si>
  <si>
    <t>Shine Systems Clay Bar - полировальная глина, 100 гр</t>
  </si>
  <si>
    <t>Shine Systems Tire Brush - щетка для чистки покрышек</t>
  </si>
  <si>
    <t>Shine Systems AirLine ResinCleaner - очиститель древесных смол, 400 мл</t>
  </si>
  <si>
    <t>Shine Systems Check&amp;Prep - антисиликоновый обезжириватель, 750 мл</t>
  </si>
  <si>
    <t>Shine Systems BubbleWax - профессиональный пенный воск для сушки и защиты кузова с эффектом кавитации, 750 мл</t>
  </si>
  <si>
    <t>Shine Systems AirLine BitumRemover - универсальный очиститель смол, битума, реагентов, 400 мл</t>
  </si>
  <si>
    <t>Shine Systems Искусственная замша синяя перфорированная 300 гр/м2</t>
  </si>
  <si>
    <t>Shine Systems Silicon - смазка для резиновых уплотнений, 750 мл</t>
  </si>
  <si>
    <t>Shine Systems Nitrile Gloves Diamond - текстурированные ультрапрочные нитриловые перчатки, размер "XL", цвет оранжевый 100 шт</t>
  </si>
  <si>
    <t>Shine Systems InteriorCleaner - универсальное средство для химчистки, 750 мл</t>
  </si>
  <si>
    <t>Shine Systems GlossProtection - наноконсервант для сушки и защиты кузова, 200 мл</t>
  </si>
  <si>
    <t>Shine Systems AirLine PolishMatt - матовый полироль для пластика салона, 400 мл</t>
  </si>
  <si>
    <t>Shine Systems AirLine PolishGlanz - глянцевый полироль пластика, 400 мл</t>
  </si>
  <si>
    <t>Shine Systems VinylMatt Cherry - матовый полироль для пластика салона, 750 мл</t>
  </si>
  <si>
    <t>Shine Systems ScrabMitt - варежка-скраб для химчистки</t>
  </si>
  <si>
    <t>Shine Systems Interior Brush - щетка для чистки интерьера</t>
  </si>
  <si>
    <t>Shine Systems AirLine FoamDetailer - универсальный очиститель, 400 мл</t>
  </si>
  <si>
    <t>Shine Systems ActiveBase - активный шампунь для бесконтактной мойки, 900 мл</t>
  </si>
  <si>
    <t>Shine Systems Black Line SlideShampoo Banana - шампунь для ручной мойки автомобиля, 400 мл</t>
  </si>
  <si>
    <t>Shine Systems Универсальная губка для салона авто 200*120*50мм</t>
  </si>
  <si>
    <t>Shine Systems CationicShampoo - наношампунь для ручной мойки автомобиля, 750 мл</t>
  </si>
  <si>
    <t>Shine Systems Nitrile Gloves Diamond - текстурированные ультрапрочные нитриловые перчатки, размер "M", цвет оранжевый 100 шт</t>
  </si>
  <si>
    <t>Shine Systems Backing pad 150RO - подложка для ротационной машинки, 150 мм</t>
  </si>
  <si>
    <t>Shine Systems DA Foam Pad Yellow - полировальный круг антиголограммный желтый, 130 мм</t>
  </si>
  <si>
    <t>Shine Systems AntiFrost - концентрат стеклоомывающей жидкости, 750 мл</t>
  </si>
  <si>
    <t>Shine Systems этикетка WipeOFF</t>
  </si>
  <si>
    <t>Shine Systems Black Line SlideShampoo Cola - шампунь для ручной мойки автомобиля, 400 мл</t>
  </si>
  <si>
    <t>Shine Systems Alkali Trigger (EPDM) - профессиональный распрыскиватель для щелочных (1-13pH) и спиртовых составов</t>
  </si>
  <si>
    <t>Shine Systems Pads Tool - инструмент для чистки и замены полировальных кругов</t>
  </si>
  <si>
    <t>Shine Systems Black Line SlideShampoo Apple - шампунь для ручной мойки автомобиля, 400 мл</t>
  </si>
  <si>
    <t>Shine Systems InteriorCleaner - универсальное средство для химчистки, 200 мл</t>
  </si>
  <si>
    <t>Shine Systems RO Foam Pad Green - полировальный круг твердый зеленый, 75 мм</t>
  </si>
  <si>
    <t>Shine Systems SmatCut - микроабразивная режущая паста, 200 мл</t>
  </si>
  <si>
    <t>Shine Systems Clay Glove - рукавица автоскраб</t>
  </si>
  <si>
    <t>Shine Systems DA Foam Pad Yellow - полировальный круг антиголограммный желтый, 155 мм</t>
  </si>
  <si>
    <t>Shine Systems VinylGloss - глянцевый полироль для винила и пластика, 750 мл</t>
  </si>
  <si>
    <t>Shine Systems Буклет Бесконтактные шампуни</t>
  </si>
  <si>
    <t>Shine Systems RO Foam Pad Yellow - полировальный круг полутвердый желтый, 155 мм</t>
  </si>
  <si>
    <t>Shine Systems Pad Cleaning Brush - щетка для чистки полировальных кругов</t>
  </si>
  <si>
    <t>Shine Systems Headlight Pro - налобный фонарь профессиональный</t>
  </si>
  <si>
    <t>Shine Systems Lila Wool Pad - полировальный круг из лилового меха, 130 мм</t>
  </si>
  <si>
    <t>Shine Systems RO Foam Pad Yellow - полировальный круг полутвердый желтый, 130 мм</t>
  </si>
  <si>
    <t>Shine Systems Backing pad 125DA - подложка для эксцентриковой машинки, 125 мм</t>
  </si>
  <si>
    <t>Shine Systems LollipopShampoo - ручной автошампунь с эффектом леденца, 200 мл</t>
  </si>
  <si>
    <t>Shine Systems DA Foam Pad Yellow - полировальный круг антиголограммный желтый, 75 мм</t>
  </si>
  <si>
    <t>Shine Systems Stripy Wool Pad - полировальный круг из стриженого меха, 130 мм</t>
  </si>
  <si>
    <t>Shine Systems Black Line InteriorDetailer Pineapple - средство для ухода за интерьером, 400 мл</t>
  </si>
  <si>
    <t>Clean&amp;Shine Очиститель полироль 7 в 1, 750 мл</t>
  </si>
  <si>
    <t>Shine Systems StinkOFF - нейтрализатор запахов, 750 мл</t>
  </si>
  <si>
    <t>Shine Systems CationicShampoo - наношампунь для ручной мойки автомобиля, 200 мл</t>
  </si>
  <si>
    <t>Shine Systems Ключ для канистр 5, 20, 60л</t>
  </si>
  <si>
    <t>Shine Systems Black Line MultiCleaner - универсальное средство для химчистки, 400 мл</t>
  </si>
  <si>
    <t>Shine Systems Cotton Wool Pad - полировальный круг мех с хлопком 130 мм</t>
  </si>
  <si>
    <t>Shine Systems CitrusCleaner - апельсиновый очиститель, 200 мл</t>
  </si>
  <si>
    <t>Shine Systems DA Foam Pad Black - полировальный круг ультрамягкий черный, 130 мм</t>
  </si>
  <si>
    <t>Shine Systems Спреер 19 л Инструкция по применению</t>
  </si>
  <si>
    <t>Shine Systems RO Foam Pad Orange - полировальный круг мягкий оранжевый, 130 мм</t>
  </si>
  <si>
    <t>Shine Systems Microfiber Pad - полировальный круг из микрофибры, 130 мм</t>
  </si>
  <si>
    <t>Shine Systems Gray Wool Pad - полировальный круг из серого меха, 130 мм</t>
  </si>
  <si>
    <t>Shine Systems Lint-Free Towel - безворсовая универсальная микрофибра стрейч 40*40 см</t>
  </si>
  <si>
    <t>Shine Systems Cotton Wool Pad - полировальный круг мех с хлопком 75 мм</t>
  </si>
  <si>
    <t>Shine Systems Cool Wool Pad - гибридный стриженый мех с терморегулирующим слоем, 130 мм</t>
  </si>
  <si>
    <t>Shine Systems Стикер-наклейка "Hip" d-149 мм</t>
  </si>
  <si>
    <t>Shine Systems Silicon - смазка для резиновых уплотнений, 200 мл</t>
  </si>
  <si>
    <t>Shine Systems Флакон с колпачком 150 мл</t>
  </si>
  <si>
    <t>Shine Systems RO Foam Pad Yellow - полировальный круг полутвердый желтый, 75 мм</t>
  </si>
  <si>
    <t>Shine Systems Yellow Wool Pad - полировальный круг из желтого меха, 130 мм</t>
  </si>
  <si>
    <t>Shine Systems Detail Polisher Pad Set - набор мини-падов для гибкого вала, 20 шт</t>
  </si>
  <si>
    <t>Shine Systems MultiWash - активный шампунь для бесконтактной мойки, 20 кг</t>
  </si>
  <si>
    <t>Shine Systems Lubricant - лубрикант для работы с глиной и автоскрабами, 750 мл</t>
  </si>
  <si>
    <t>Shine Systems Yellow Wool Pad - полировальный круг из желтого меха, 155 мм</t>
  </si>
  <si>
    <t>Shine Systems Perl Towel - микрофибра с двойным плетением без оверлока 40*40см, 350гр/м2, 3 шт</t>
  </si>
  <si>
    <t>Shine Systems PinkFoam - активный шампунь для бесконтактной мойки, 20 кг</t>
  </si>
  <si>
    <t>Shine Systems Microfiber Pad - полировальный круг из микрофибры, 75 мм</t>
  </si>
  <si>
    <t>Shine Systems Стикер-наклейка "Black" d-149 мм</t>
  </si>
  <si>
    <t>Shine Systems Ракель розовый PPF твердость 90А 10*7,5 см</t>
  </si>
  <si>
    <t>Shine Systems ReagentOFF - очиститель дорожного реагента, 5 л</t>
  </si>
  <si>
    <t>Shine Systems Lila Wool Pad - полировальный круг из лилового меха, 155 мм</t>
  </si>
  <si>
    <t>Shine Systems Backing pad 75DA - подложка для эксцентриковой машинки, 75 мм</t>
  </si>
  <si>
    <t>Shine Systems Detailing Brush N18 - деликатная кисть для детейлинга большая</t>
  </si>
  <si>
    <t>Shine Systems DA15, DA21, RO Polisher Carbon Brush - щетки для электродвигателя, 2шт</t>
  </si>
  <si>
    <t>Shine Systems Headlight - налобный фонарь для общих работ</t>
  </si>
  <si>
    <t>Shine Systems Комплект наклеек От себя/на себя 1 шт (200х115мм)</t>
  </si>
  <si>
    <t>Shine Systems Chamois - искусственная замша для сушки автомобиля 50*44см</t>
  </si>
  <si>
    <t>Shine Systems MultiTec - активный шампунь для бесконтактной мойки, 20 кг</t>
  </si>
  <si>
    <t>Shine Systems Drill Soft Brush - мягкая щетка ерш для шуруповерта</t>
  </si>
  <si>
    <t>Shine Systems DA Foam Pad Green - полировальный круг экстра твердый зеленый, 75 мм</t>
  </si>
  <si>
    <t>Shine Systems Backing pad 50RO - подложка для ротационной машинки, 50 мм</t>
  </si>
  <si>
    <t>Shine Systems EngineWash - очиститель двигателя и агрегатов, 900 мл</t>
  </si>
  <si>
    <t>Shine Systems Multifunctional Light - мультифункциональный напольный фонарь</t>
  </si>
  <si>
    <t>Гарантийный талон А4</t>
  </si>
  <si>
    <t>Shine Systems Backing pad 25RO - подложка для ротационной машинки, 25 мм</t>
  </si>
  <si>
    <t>Shine Systems Microfiber Pad - полировальный круг из микрофибры, 155 мм</t>
  </si>
  <si>
    <t>Shine Systems RO Foam Pad Orange - полировальный круг мягкий оранжевый, 155 мм</t>
  </si>
  <si>
    <t>Shine Systems Flex Back Plate RO125 - гибкая подложка для ротационной машинки 125 мм</t>
  </si>
  <si>
    <t>Shine Systems Hybrid Pad - гибридный полировальный круг, 155 мм</t>
  </si>
  <si>
    <t>Shine Systems Nano Polisher Pad Set - набор мини-падов для iBrid, 30 мм 7шт</t>
  </si>
  <si>
    <t>Shine Systems Dosatron - активный шампунь для бесконтактной мойки, 20 кг</t>
  </si>
  <si>
    <t>Shine Systems GlassCut - полировальная паста для стекла, 200 мл</t>
  </si>
  <si>
    <t>Shine Systems AbrasiveOFF - очиститель стекла от пасты, 200 мл</t>
  </si>
  <si>
    <t>Shine Systems AcidShampoo - кислотный шампунь для ручной мойки, 5 л</t>
  </si>
  <si>
    <t>Shine Systems DA Foam Pad Orange - полировальный круг мягкий оранжевый, 130 мм</t>
  </si>
  <si>
    <t>Shine Systems Black Wool Pad - полировальный круг из черного меха, 155 мм</t>
  </si>
  <si>
    <t>Shine Systems Stripy Wool Pad - полировальный круг из стриженого меха, 155 мм</t>
  </si>
  <si>
    <t>Shine Systems AroMatt Magic - парфюм на водной основе, 200 мл</t>
  </si>
  <si>
    <t>Shine Systems GlassPolish - полировальная паста для стекла, 200 мл</t>
  </si>
  <si>
    <t>Shine Systems StickerPack - набор наклеек на бутылки 16 шт, 7,5*10,5 см</t>
  </si>
  <si>
    <t>Shine Systems DA Foam Pad Green - полировальный круг экстра твердый зеленый, 155 мм</t>
  </si>
  <si>
    <t>Shine Systems DA15 Polisher Резиновая крышка (уплотнение подшипника)</t>
  </si>
  <si>
    <t>Shine Systems Пакет 250х350х80мм черный с логотипом тиснение</t>
  </si>
  <si>
    <t>Shine Systems Флакон с крышкой твист топ 30 мл., резьба 18 мм</t>
  </si>
  <si>
    <t>Shine Systems Glass Coat - защитное керамическое покрытие для стёкол, 50 мл</t>
  </si>
  <si>
    <t>Shine Systems GlassCleaner - универсальный очиститель стекол, 5 л</t>
  </si>
  <si>
    <t>Shine Systems Flex Back Plate RO150 - гибкая подложка для ротационной машинки 150 мм</t>
  </si>
  <si>
    <t>Shine Systems Swab Foam Square - поролоновая палочка для детейлинга, 50шт.</t>
  </si>
  <si>
    <t>Shine Systems Nano Polisher Pad Set - набор мини-падов для iBrid, 50 мм 7шт</t>
  </si>
  <si>
    <t>Shine Systems AroMatt Wood - парфюм на водной основе, 200 мл</t>
  </si>
  <si>
    <t>Shine Systems RO Foam Pad Green - полировальный круг твердый зеленый, 155 мм</t>
  </si>
  <si>
    <t>Shine Systems TireTouch - кисть для ухода за резиной</t>
  </si>
  <si>
    <t>Shine Systems Пакет 120х120х320мм черный с логотипом тиснение</t>
  </si>
  <si>
    <t>Shine Systems Ракель угловой розовый PPF 10*7,5см</t>
  </si>
  <si>
    <t>Shine Systems Carpet Brush - щетка для чистки напольных покрытий</t>
  </si>
  <si>
    <t>Shine Systems Ракель розовый PPF твердость 90А 6,5*7,5см</t>
  </si>
  <si>
    <t>Shine Systems DA Foam Pad Black - полировальный круг ультрамягкий черный, 155 мм</t>
  </si>
  <si>
    <t>Shine Systems Black Line ReadyFoam - готовый автошампунь для бесконтактной мойки, 5 л</t>
  </si>
  <si>
    <t>Shine Systems Cotton Wool Pad - полировальный круг мех с хлопком 155 мм</t>
  </si>
  <si>
    <t>Shine Systems DA Foam Pad Purple - полировальный круг твердый лиловый, 75 мм</t>
  </si>
  <si>
    <t>Shine Systems RO Foam Pad Orange - полировальный круг мягкий оранжевый, 75 мм</t>
  </si>
  <si>
    <t>Shine Systems Спреер компрессионный 19л</t>
  </si>
  <si>
    <t>Shine Systems CationicShampoo - наношампунь для ручной мойки автомобиля, 5 л</t>
  </si>
  <si>
    <t>Shine Systems ActiveGel - активный шампунь для бесконтактной мойки, 20 кг</t>
  </si>
  <si>
    <t>Shine Systems Bigbro Brush - большая кисть для салона автомобиля</t>
  </si>
  <si>
    <t>Shine Systems Hybrid Pad - гибридный полировальный круг, 75 мм</t>
  </si>
  <si>
    <t>Shine Systems Ракель розовый PPF твердость 90А 7,5*3 см</t>
  </si>
  <si>
    <t>Shine Systems Backing pad 150DA - подложка для эксцентриковой машинки, 150 мм</t>
  </si>
  <si>
    <t>Shine Systems Sticker Collection Set №2 - набор стикеров</t>
  </si>
  <si>
    <t>Shine Systems ActiveFoam - активная пена для бесконтактной мойки, 20 кг</t>
  </si>
  <si>
    <t>Shine Systems Black Line GentleWash - деликатный шампунь для бесконтактной мойки, 5 л</t>
  </si>
  <si>
    <t>Shine Systems EuroWash - активный шампунь для бесконтактной мойки, 20 кг</t>
  </si>
  <si>
    <t>Shine Systems VinylMatt Wood - матовый полироль для пластика салона, 5 л</t>
  </si>
  <si>
    <t>Shine Systems Ручка черная с логотипом</t>
  </si>
  <si>
    <t>Shine Systems Microfiber Pad Set - комплект микрофибровых кругов 30 мм, 5 шт</t>
  </si>
  <si>
    <t>Shine Systems Inspection Light Slim - компактный инспекционный фонарь</t>
  </si>
  <si>
    <t>Shine Systems Inspection Light Pro - профессиональный инспекционный фонарь</t>
  </si>
  <si>
    <t>Shine Systems TOP Coat - гидрофобное керамическое покрытие для кузова, 50 мл</t>
  </si>
  <si>
    <t>Shine Systems SmatCut - микроабразивная режущая паста, 750 мл</t>
  </si>
  <si>
    <t>Shine Systems InteriorCleaner - универсальное средство для химчистки, 5 л</t>
  </si>
  <si>
    <t>Shine Systems Pad Cleaning Spur - шпора для чистки полировальных кругов из меха</t>
  </si>
  <si>
    <t>Shine Systems Rim Brush XL - щетка для чистки дисков 43*10 см</t>
  </si>
  <si>
    <t>Shine Systems Black Line IronOFF Pro - нейтральный очиститель дисков с индикатором, 5 л</t>
  </si>
  <si>
    <t>Shine Systems Рамка с логотипом для номера, 1 шт</t>
  </si>
  <si>
    <t>Shine Systems "Полировальная система" Инструкция по применению, 30шт</t>
  </si>
  <si>
    <t>Shine Systems плакат А4 "Pink Foam"</t>
  </si>
  <si>
    <t>Shine Systems SuperStar - активный шампунь для бесконтактной мойки, 20 кг</t>
  </si>
  <si>
    <t>Shine Systems Lila Wool Pad - полировальный круг из лилового меха, 75 мм</t>
  </si>
  <si>
    <t>Shine Systems Turbo Car Dryer Round Nozzle - круглая насадка для турбосушки</t>
  </si>
  <si>
    <t>Shine Systems EasyFinish - мелкоабразивная полировальная паста, 750 мл</t>
  </si>
  <si>
    <t>Shine Systems PinkFoam - активный шампунь для бесконтактной мойки, 5 л</t>
  </si>
  <si>
    <t>Shine Systems Extension Rod Kit - Набор удлинителей для роторных полировальных машинок</t>
  </si>
  <si>
    <t>Shine Systems плакат А4 "Химчистка колес"</t>
  </si>
  <si>
    <t>Shine Systems Home Line Home Kit - подарочный набор для дома</t>
  </si>
  <si>
    <t>Shine Systems Ракель розовый овальный PPF 10*7,5см</t>
  </si>
  <si>
    <t>Shine Systems Miсro Polisher - аккумуляторная полировальная машинка,набор в сумке</t>
  </si>
  <si>
    <t>Shine Systems LeatherCleaner - деликатный очиститель кожи, 5 л</t>
  </si>
  <si>
    <t>Shine Systems Black Line PerfectGlass - бесспиртовой стеклоочиститель, 400 мл</t>
  </si>
  <si>
    <t>Shine Systems RO mini Polisher Carbon Brush - щетки для электродвигателя, 2шт</t>
  </si>
  <si>
    <t>Shine Systems Ракель-трапеция 10*7см</t>
  </si>
  <si>
    <t>Shine Systems Кружка "Black"</t>
  </si>
  <si>
    <t>Shine Systems Комплект накидок на колеса, 4 шт</t>
  </si>
  <si>
    <t>Shine Systems Насадка на ракель из замшевого фетра 5м</t>
  </si>
  <si>
    <t>Shine Systems Detail Polisher Clamp - латунная цанга струны гибкого вала</t>
  </si>
  <si>
    <t>Shine Systems Aromatt Stand Black Line- тестер-стенд для парфюма</t>
  </si>
  <si>
    <t>Shine Systems ActiveGel - активный шампунь для бесконтактной мойки, 5 л</t>
  </si>
  <si>
    <t>Shine Systems Felt Guard Tape - фетровая защитная лента для скребка 5 м</t>
  </si>
  <si>
    <t>Shine Systems ActiveFoam - активная пена для бесконтактной мойки, 900 мл</t>
  </si>
  <si>
    <t>Shine Systems Стойка из оргстекла под плакаты А4, вертикальная</t>
  </si>
  <si>
    <t>Shine Systems NanoPolisher - аккумуляторная полировальная мини машинка (iBrid), набор в сумке</t>
  </si>
  <si>
    <t>Shine Systems PPF Protect - защитное керамическое покрытие для пленок, 50 мл</t>
  </si>
  <si>
    <t>Shine Systems Плакат А2 "Химчистка колес"</t>
  </si>
  <si>
    <t>Shine Systems PPF Protect - защитное керамическое покрытие для пленок, 30 мл (набор)</t>
  </si>
  <si>
    <t>Shine Systems Camouflage Shield Tape Защитная тканевая лента для ракеля с камуфляжным рисунком 5м</t>
  </si>
  <si>
    <t>Shine Systems Black Line PlasticMatt Invictus - матовый полироль для пластика и винила салона, 5 л</t>
  </si>
  <si>
    <t>Shine Systems HYBRID Coat - защитное гидрофобное покрытие для кузова, 50 мл</t>
  </si>
  <si>
    <t>Shine Systems Drill Brush - мягкая щетка для шуруповерта, 100 мм</t>
  </si>
  <si>
    <t>Shine Systems Black Line InteriorDetailer Bergamot - средство для ухода за интерьером, 5 л</t>
  </si>
  <si>
    <t>Shine Systems Ракель турбо 5.5'' 14*9см</t>
  </si>
  <si>
    <t>Мерный стакан 1 л</t>
  </si>
  <si>
    <t>Shine Systems Ракель красный PPF, твердость 80А, 10x7,5см</t>
  </si>
  <si>
    <t>Shine Systems Насадка форме крыльев на ракель из мягкого фетра оранжевого цвета 10 шт 12,6*3см</t>
  </si>
  <si>
    <t>Shine Systems плакат А4 "Уход за кожей"</t>
  </si>
  <si>
    <t>Shine Systems MosquitOFF Concentrate - очиститель следов насекомых, 20 кг</t>
  </si>
  <si>
    <t>Shine Systems PPF TPU-190 Hard Matt - матовая антигравийная защитная полиуретановая пленка для авто, 1,52*15м 190мкм</t>
  </si>
  <si>
    <t>Shine Systems DA75, DA21, DA15 Polisher - Вал крепления основы</t>
  </si>
  <si>
    <t>Shine Systems Black Line InteriorDetailer Macadamia - средство для ухода за интерьером, 5 л</t>
  </si>
  <si>
    <t>Shine Systems Ракель треугольный пластиковый с плоским краем 70А</t>
  </si>
  <si>
    <t>Shine Systems Набор треугольных ракелей с плоским краем 3 шт - 90А, 80А, 70А</t>
  </si>
  <si>
    <t>Shine Systems Ракель трехслойный резиновый малый PPF 10*5,2см</t>
  </si>
  <si>
    <t>Shine Systems Camouflage Shield Tape - Защитная тканевая лента для ракеля с камуфляжным рисунком 1 м</t>
  </si>
  <si>
    <t>Shine Systems Скребок пластиковый с губкой EVA на ручке</t>
  </si>
  <si>
    <t>Shine Systems Camouflage Shield Tape - Защитная тканевая лента для ракеля с камуфляжным рисунком,10шт 10*4см</t>
  </si>
  <si>
    <t>Shine Systems RO Mini Polisher Speed Controler+Switch - Регулятор скорости с кнопкой</t>
  </si>
  <si>
    <t>Shine Systems Ракель черный PPF твердость 90А 10*7,5 см</t>
  </si>
  <si>
    <t>Стакан мерный, 50 мл</t>
  </si>
  <si>
    <t>Shine Systems Набор - ракель "Бульдозер" для тонировки красный, удлинитель и тефлоновая лента 64*16см</t>
  </si>
  <si>
    <t>Shine Systems EcoFoam - активный шампунь для бесконтактной мойки, 20 кг</t>
  </si>
  <si>
    <t>Shine Systems Набор - ракель "Бульдозер" для тонировки зеленый,удлинитель и тефлоновая лента 64*16см</t>
  </si>
  <si>
    <t>Shine Systems Black Line SlideShampoo Cola - шампунь для ручной мойки автомобиля, 5 л</t>
  </si>
  <si>
    <t>Shine Systems DelicateWash - активный шампунь для деликатной мойки авто, 20 кг</t>
  </si>
  <si>
    <t>Shine Systems TOP Coat 2.0 - гидрофобное керамическое покрытие для кузова, 50 мл</t>
  </si>
  <si>
    <t>Shine Systems Скребок пластиковый для лезвий 10*4см</t>
  </si>
  <si>
    <t>Shine Systems Ракель оранжевый PPF 80А 10x7,5 см</t>
  </si>
  <si>
    <t>Shine Systems Microfiber Pad Set - комплект микрофибровых кругов 50 мм, 3 шт</t>
  </si>
  <si>
    <t>Shine Systems Набор магнитных ракелей 3 степени жесткости 10*8см</t>
  </si>
  <si>
    <t>Shine Systems Ракель треугольный пластиковый 80А</t>
  </si>
  <si>
    <t>Shine Systems Ракель розовый PPF твердость 80А 10*7,5 см</t>
  </si>
  <si>
    <t>Shine Systems Логотип для номера</t>
  </si>
  <si>
    <t>Shine Systems Ракель зеленый твердость 70А, 10х7.5 см</t>
  </si>
  <si>
    <t>Shine Systems Ракель треугольный пластиковый с плоским краем 90А</t>
  </si>
  <si>
    <t>Shine Systems Turbo Car Dryer Connector Seal - уплотнитель соединителя шланга для турбосушки</t>
  </si>
  <si>
    <t>Shine Systems Держатель для лезвия</t>
  </si>
  <si>
    <t>Shine Systems Ракель "Бульдозер" с тефлоном для стекол, зеленый 64*16см</t>
  </si>
  <si>
    <t>Shine Systems Двусторонний мини-ракель заправочный мягкий 16,5*3см</t>
  </si>
  <si>
    <t>Shine Systems плакат А4 "Химчистка двигателя"</t>
  </si>
  <si>
    <t>Shine Systems Насадка на ракель из микрофибры 5м</t>
  </si>
  <si>
    <t>Shine Systems PPF Gel - установочный гель, 5 л</t>
  </si>
  <si>
    <t>Shine Systems Набор мини-ракелей для труднодоступных мест с магнитом</t>
  </si>
  <si>
    <t>Shine Systems Ручка аллюминевая для ракеля A17R 15*8,8см</t>
  </si>
  <si>
    <t>Shine Systems Black Line PerfectGlass - бесспиртовой стеклоочиститель, 5 л</t>
  </si>
  <si>
    <t>Shine Systems DA75 Polisher Пружина d26</t>
  </si>
  <si>
    <t>Shine Systems Ракель черный твердостью PPF 80А 10*7,5см</t>
  </si>
  <si>
    <t>Shine Systems DA21 Polisher Пружина d10</t>
  </si>
  <si>
    <t>Shine Systems Felt Guard Tape - фетровая защитная лента для скребка 1м</t>
  </si>
  <si>
    <t>Shine Systems плакат А4 "Химчистка резины и дисков"</t>
  </si>
  <si>
    <t>Shine Systems Ракель угловой 8,5*3см</t>
  </si>
  <si>
    <t>Shine Systems Ракель треугольный пластиковый 90А</t>
  </si>
  <si>
    <t>Shine Systems DA15, DA21, RO Polisher - Держатель угольной щетки c пружиной</t>
  </si>
  <si>
    <t>Shine Systems плакат А4 "NanoGlass"</t>
  </si>
  <si>
    <t>Shine Systems Black Line SlideShampoo Apple - шампунь для ручной мойки автомобиля, 5 л</t>
  </si>
  <si>
    <t>Shine Systems Плакат А2 "NanoGlass"</t>
  </si>
  <si>
    <t>Shine Systems Detail Polisher - гибкий вал для полировки труднодоступных мест, набор в сумке</t>
  </si>
  <si>
    <t>Shine Systems ResinOFF - очиститель древесных смол, 5 л</t>
  </si>
  <si>
    <t>Shine Systems Кружка 350 мл</t>
  </si>
  <si>
    <t>Shine Systems DA75 Polisher Пружина d5</t>
  </si>
  <si>
    <t>Shine Systems RO Polisher Пружина d9</t>
  </si>
  <si>
    <t>Shine Systems Teflon Guard Tape - Тефлоновая защитная лента для ракеля 5м</t>
  </si>
  <si>
    <t>Shine Systems Ракель "Бульдозер" для тонировки 90А 64*16м</t>
  </si>
  <si>
    <t>Shine Systems Ракель с Т образной ручкой</t>
  </si>
  <si>
    <t>Shine Systems RO Polisher Пружина d12</t>
  </si>
  <si>
    <t>Shine Systems Насадка форме крыльев на ракель из ультратонкого фетра красного цвета 10 шт 12,6*3см</t>
  </si>
  <si>
    <t>Shine Systems Ракель для тонировки 80А 64*16см</t>
  </si>
  <si>
    <t>Shine Systems DA75 Polisher Speed Controler+Switch - Регулятор скорости с кнопкой</t>
  </si>
  <si>
    <t>Shine Systems Ракель оранжевый PPF 90А 6,5*7,5см</t>
  </si>
  <si>
    <t>Shine Systems HYBRID Coat 2.0 - защитное гидрофобное покрытие для кузова, 50 мл</t>
  </si>
  <si>
    <t>Shine Systems DA21 Polisher - Большая шестерня</t>
  </si>
  <si>
    <t>Shine Systems Безопасный нож для резки пленки</t>
  </si>
  <si>
    <t>Shine Systems Ракель из резины</t>
  </si>
  <si>
    <t>Shine Systems Крышка органайзер для инструментов</t>
  </si>
  <si>
    <t>Shine Systems Ракель Blue Max 16*13см</t>
  </si>
  <si>
    <t>Shine Systems Ракель угловой розовый твердость 90А 6,5*2,9 см</t>
  </si>
  <si>
    <t>Shine Systems Стеллаж картонный</t>
  </si>
  <si>
    <t>Shine Systems DA15 Polisher Большая шестерня</t>
  </si>
  <si>
    <t>Shine Systems Набор лопаток из нержавеющей стали, 3шт</t>
  </si>
  <si>
    <t>Shine Systems Light - активный шампунь для бесконтактной мойки, 20 кг</t>
  </si>
  <si>
    <t>Shine Systems Easy Dry Double Max - двуслойная микрофибра для сушки кузова 50*80см, 1200гр/м2</t>
  </si>
  <si>
    <t>Shine Systems DA15 Polisher Передняя крышка, большая шестерня</t>
  </si>
  <si>
    <t>Shine Systems Плакат А2 "FastQartz"</t>
  </si>
  <si>
    <t>Shine Systems плакат А4 "FastQuartz"</t>
  </si>
  <si>
    <t>Shine Systems Ракель "Бульдозер" с тефлоном для тонировки,черный 64*16см</t>
  </si>
  <si>
    <t>Shine Systems Ракель 25*10см мягкий</t>
  </si>
  <si>
    <t>Shine Systems Кружка 400 мл</t>
  </si>
  <si>
    <t>Shine Systems Набор ракелей с острыми углами PPF зеленого цвета 5 шт 1 подарочная коробка</t>
  </si>
  <si>
    <t>Shine Systems Органайзер для инструментов</t>
  </si>
  <si>
    <t>Shine Systems Плакат А2 "Полировальная система"</t>
  </si>
  <si>
    <t>Shine Systems Turbo Car Dryer Potentiometer - потенциометр для турбосушки</t>
  </si>
  <si>
    <t>Shine Systems RO Polisher - Большая шестерня</t>
  </si>
  <si>
    <t>Shine Systems плакат А2 "Black Line Быстрый уход за интерьером"</t>
  </si>
  <si>
    <t>Shine Systems Щетка для заклепок с инструментом для выпуска воздуха</t>
  </si>
  <si>
    <t>Shine Systems Ракель-трапеция розовый односторонний, 10*7,5см</t>
  </si>
  <si>
    <t>Shine Systems Ракель 10*7,5 см средней жесткости</t>
  </si>
  <si>
    <t>Shine Systems PPF TPU-215 Hard - антигравийная защитная полиуретановая пленка для авто с твердым топом, 1,52*15м 215мкм</t>
  </si>
  <si>
    <t>Shine Systems Ручка аллюминевая для ракеля A17R 20*8,8см</t>
  </si>
  <si>
    <t>Shine Systems DA21 Polisher - эксцентриковая орбита (комплект)</t>
  </si>
  <si>
    <t>Shine Systems Soak Shield Vinyl - Абсорбирующая веревка из плетеной микрофибры,красная 3м</t>
  </si>
  <si>
    <t>Shine Systems Turbo Car Dryer Switch - выключатель для турбосушки</t>
  </si>
  <si>
    <t>Shine Systems Жилет утепленный (черный), размер 48-50</t>
  </si>
  <si>
    <t>Shine Systems плакат А2 "Химчистка резины и дисков"</t>
  </si>
  <si>
    <t>Shine Systems Скребок Triumph шириной 10см</t>
  </si>
  <si>
    <t>Shine Systems CherryBomb - автошампунь для ручной мойки, 20 л</t>
  </si>
  <si>
    <t>Shine Systems DA21 Polisher - передняя крышка с большой шестерней</t>
  </si>
  <si>
    <t>Shine Systems RO Polisher Speed Controler - Регулятор скорости</t>
  </si>
  <si>
    <t>Shine Systems Нож для безопасной резки пленки и подложки</t>
  </si>
  <si>
    <t>Shine Systems CherryBomb - автошампунь для ручной мойки, 5 л</t>
  </si>
  <si>
    <t>Shine Systems PortalWash - активная пена для автоматических моек, 20 кг</t>
  </si>
  <si>
    <t>Shine Systems Магнитный голубой скребок</t>
  </si>
  <si>
    <t>Shine Systems Ракель магнитный золото 15*10см</t>
  </si>
  <si>
    <t>Shine Systems Ракель резиновый для очистки стекла</t>
  </si>
  <si>
    <t>Shine Systems Ракель розовый твердость 90А 12*7,5 см</t>
  </si>
  <si>
    <t>Shine Systems Ракель с выдвижной ручкой от 40 до 58см</t>
  </si>
  <si>
    <t>Shine Systems AcidShampoo - кислотный шампунь для ручной мойки, 20 л</t>
  </si>
  <si>
    <t>Shine Systems Держатель магнитный (6 магнитов)</t>
  </si>
  <si>
    <t>Shine Systems Держатель магнитный (3 магнита)</t>
  </si>
  <si>
    <t>Shine Systems Плакат А2 "OZON"</t>
  </si>
  <si>
    <t>Shine Systems Turbo Car Dryer Hose - шланг для турбосушки 50мм, 5м</t>
  </si>
  <si>
    <t>Shine Systems Держатель магнитный (4 магнита)</t>
  </si>
  <si>
    <t>Shine Systems Ракель серый силиконовый в форме бкувы Т 36см,нержавеющая сталь внутри</t>
  </si>
  <si>
    <t>Shine Systems Black Line InteriorDetailer Pineapple - средство для ухода за интерьером, 5 л</t>
  </si>
  <si>
    <t>Shine Systems Ракель-трапеция двусторонний PPF 10*7,5см</t>
  </si>
  <si>
    <t>Shine Systems NanoPolisher Speed Controler+Switch - Регулятор скорости с кнопкой</t>
  </si>
  <si>
    <t>Shine Systems DA21 Polisher - Малая шестерня</t>
  </si>
  <si>
    <t>Shine Systems Soak Shield Vinyl - Абсорбирующая веревка из плетеной микрофибры,синяя 3м</t>
  </si>
  <si>
    <t>Shine Systems Ежедневник 2026</t>
  </si>
  <si>
    <t>Shine Systems Ракель турбо 3.7'' 9,5*5,5см</t>
  </si>
  <si>
    <t>Shine Systems Ручка для ракеля 14.5cм*10cм</t>
  </si>
  <si>
    <t>Shine Systems Футболка трикотажная (черная) - L</t>
  </si>
  <si>
    <t>LAVA - автошампунь для ручной мойки, 20 кг</t>
  </si>
  <si>
    <t>Shine Systems Набор треугольных ракелей 3 шт - 90А, 80А, 70А</t>
  </si>
  <si>
    <t>Shine Systems Ракель оранжевый PPF 90А 12*7,5см</t>
  </si>
  <si>
    <t>Shine Systems Держатель кистей и триггеров, 630 мм</t>
  </si>
  <si>
    <t>Shine Systems Набор из 4-х ракелей овальной формы с насадками из войлока 10*7,2см</t>
  </si>
  <si>
    <t>Shine Systems Плакат А2 "Система услуг"</t>
  </si>
  <si>
    <t>Shine Systems плакат А4 "Ozon"</t>
  </si>
  <si>
    <t>Shine Systems DA15 Polisher Шестерня ротора малая ведущая</t>
  </si>
  <si>
    <t>Shine Systems Swab Microfiber Square - микрофибровая палочка для детейлинга, 50шт.</t>
  </si>
  <si>
    <t>Shine Systems Набор магнитных ракелей для работы с антигравийными пленками, 6шт</t>
  </si>
  <si>
    <t>Shine Systems Плакат А4 "Керамические защиты"</t>
  </si>
  <si>
    <t>Shine Systems Футболка трикотажная (черная) - M</t>
  </si>
  <si>
    <t>Shine Systems Soak Shield Rope - Абсорбирующая веревка из микрофибры 3м</t>
  </si>
  <si>
    <t>Shine Systems Ракель с мягкой ручкой черный 15*12,5см</t>
  </si>
  <si>
    <t>Shine Systems Эргономичная рукоятка скребка Triumph</t>
  </si>
  <si>
    <t>Shine Systems DA21 Polisher - Держатель угольной щетки и пружина</t>
  </si>
  <si>
    <t>Shine Systems EngineWash - очиститель двигателя и агрегатов, 20 кг</t>
  </si>
  <si>
    <t>Shine Systems Бейсболка черная</t>
  </si>
  <si>
    <t>Shine Systems DA15 Polisher Эксцентриковая орбита (комплект)</t>
  </si>
  <si>
    <t>Shine Systems Футболка трикотажная (черная) - XL</t>
  </si>
  <si>
    <t>Shine Systems DA15, DA21, RO Polisher Switch - выключатель для полировальной машинки с кнопкой</t>
  </si>
  <si>
    <t>Shine Systems DA21/RO Polisher Armature - ротор c прокладкой и магнитным кольцом</t>
  </si>
  <si>
    <t>Shine Systems DA75, RO mini Polisher - Выключатель с тягой</t>
  </si>
  <si>
    <t>Shine Systems Инструмент для обрезания пленки</t>
  </si>
  <si>
    <t>Shine Systems Насадка на ракель из микротонкого фетра 2м</t>
  </si>
  <si>
    <t>Shine Systems Ракель "Бульдозер" для тонировки 85А 64*16см</t>
  </si>
  <si>
    <t>Shine Systems IronOFF - бескислотный очиститель дисков с индикатором, 750 мл</t>
  </si>
  <si>
    <t>Shine Systems Магнитная рукоятка с ракелем 70А 12,5*10см</t>
  </si>
  <si>
    <t>Shine Systems NanoPolisher - Зарядное устройство</t>
  </si>
  <si>
    <t>Shine Systems RO Mini Polisher Большая шестерня</t>
  </si>
  <si>
    <t>Shine Systems Ручка для ракеля 15*3см</t>
  </si>
  <si>
    <t>Shine Systems DA75 Polisher Передняя крышка, большая шестерня (комплект)</t>
  </si>
  <si>
    <t>Shine Systems RO Polisher - Шестерня малая ведущая</t>
  </si>
  <si>
    <t>Shine Systems Ручка для ракеля 22см-10см</t>
  </si>
  <si>
    <t>Shine Systems DA75 Polisher Armature - ротор с прокладкой и магнитным кольцом</t>
  </si>
  <si>
    <t>Shine Systems DA75 Polisher Большая шестерня</t>
  </si>
  <si>
    <t>Shine Systems IPA - антисиликон-обезжириватель на спиртовой основе, 5 л</t>
  </si>
  <si>
    <t>Shine Systems RO Polisher - Головная коробка с редуктором в сборе</t>
  </si>
  <si>
    <t>Shine Systems DA75 Polisher Малая шестерня</t>
  </si>
  <si>
    <t>Shine Systems PPF TPU-190 Premium - антигравийная защитная полиуретановая пленка для авто со средним топом, 1,52*15м 190мкм</t>
  </si>
  <si>
    <t>Shine Systems Аллюминиевый резак</t>
  </si>
  <si>
    <t>Shine Systems Баннер Чистый Драйв</t>
  </si>
  <si>
    <t>Shine Systems Термокружка 350 мл</t>
  </si>
  <si>
    <t>Shine Systems PPF TPU-190 Hard Premium - антигравийная защитная полиуретановая пленка для авто с твердым топом, 1,52*15м 190мкм</t>
  </si>
  <si>
    <t>Shine Systems Набор ракелей с закругленными углами PPF, синего цвета 5шт 1 подарочная коробка</t>
  </si>
  <si>
    <t>Shine Systems Бейсболка темно-синяя "PowerCut"</t>
  </si>
  <si>
    <t>Shine Systems Нож для картриджей А30° 9mm</t>
  </si>
  <si>
    <t>Shine Systems Плакат А2 "Полировка стёкол"</t>
  </si>
  <si>
    <t>Shine Systems Ракель двусторонний PPF 15,5см</t>
  </si>
  <si>
    <t>Shine Systems NanoPolisher - Аккумулятор, 1 шт</t>
  </si>
  <si>
    <t>Shine Systems PPF TPU-190 Hard - антигравийная защитная полиуретановая пленка для авто с твердым топом, 1,52*15м 190мкм</t>
  </si>
  <si>
    <t>Shine Systems Аллюминиевый V- образный резак</t>
  </si>
  <si>
    <t>Shine Systems Ракель PPF с металлической ручкой 15*5*1см</t>
  </si>
  <si>
    <t>Shine Systems Сгон черный силиконовый</t>
  </si>
  <si>
    <t>Shine Systems Чехол для чемодана Neon Car, размер S</t>
  </si>
  <si>
    <t>Shine Systems Жилет утепленный (черный), размер 44-46</t>
  </si>
  <si>
    <t>Shine Systems Набор ракелей различной формы и размера, твердость 90А 5 ш</t>
  </si>
  <si>
    <t>Shine Systems Футболка трикотажная (черная) - 3XL</t>
  </si>
  <si>
    <t>Shine Systems Aromatt Stand - тестер-стенд для парфюма</t>
  </si>
  <si>
    <t>Shine Systems Плакат А2 "Керамические защиты"</t>
  </si>
  <si>
    <t>Shine Systems Бейсболка зеленая "PowerCut"</t>
  </si>
  <si>
    <t>Shine Systems Пластиковый скребок для лезвий</t>
  </si>
  <si>
    <t>Shine Systems RO Polisher - Передняя крышка, большая шестерня</t>
  </si>
  <si>
    <t>Shine Systems Набор розовых магнитных скребков PPF, 6,5-10-12х7,5см</t>
  </si>
  <si>
    <t>Shine Systems Т-образный скребок 15,24 см</t>
  </si>
  <si>
    <t>Shine Systems Чехол для чемодана Black Car, размер S</t>
  </si>
  <si>
    <t>Shine Systems Turbo Car Dryer Wide Nozzle - щелевая широкая насадка для для турбосушки</t>
  </si>
  <si>
    <t>Shine Systems Ракель для магнитной рукоятки 90А 12,5*5см</t>
  </si>
  <si>
    <t>Shine Systems Футболка трикотажная (черная) - S</t>
  </si>
  <si>
    <t>Shine Systems Turbo Car Dryer DBL PCB - блок управления для турбосушки</t>
  </si>
  <si>
    <t>Shine Systems VinylMatt Cherry - матовый полироль для пластика салона, 5 л</t>
  </si>
  <si>
    <t>Shine Systems Ракель Pro PPF</t>
  </si>
  <si>
    <t>Shine Systems Ракель черный силиконовый в форме буквы Т36 см,нержавеющая сталь внутри</t>
  </si>
  <si>
    <t>Shine Systems Футболка белая Oversize Logo blue XL/XXL</t>
  </si>
  <si>
    <t>Shine Systems Чехол для чемодана Neon Car, размер M</t>
  </si>
  <si>
    <t>Shine Systems DA15 Polisher Armature - ротор</t>
  </si>
  <si>
    <t>Shine Systems Soak Shield Thicker - Абсорбирующая верёвка из микрофибры 3м диаметр 4см</t>
  </si>
  <si>
    <t>Shine Systems Накидка защитная на дверь 4 шт 10,6*76,2см</t>
  </si>
  <si>
    <t>Shine Systems Ракель трехслойный комбинированный PPF 2 5*8 cм</t>
  </si>
  <si>
    <t>Shine Systems DA21 Polisher Speed Controler - Регулятор скорости DA21</t>
  </si>
  <si>
    <t>Shine Systems Turbo Car Dryer SNGL Motor - турбина 2200 Вт для турбосушки</t>
  </si>
  <si>
    <t>Shine Systems Выгонка ромбовидная из мягкой резины</t>
  </si>
  <si>
    <t>Shine Systems Набор ракелей PPF лимонно-зеленого цвета 5шт 1 подарочная коробка</t>
  </si>
  <si>
    <t>Shine Systems Чехол для чемодана Blue, размер M</t>
  </si>
  <si>
    <t>Shine Systems RO Polisher - полировальная машинка ротационная 1100 Вт, 125 мм</t>
  </si>
  <si>
    <t>Shine Systems Набор ракелей овальной формы 3 шт 70А, 80А, 90А 7,2см</t>
  </si>
  <si>
    <t>Shine Systems Полукомбинезон влагозащитный (размер 56/58, на рост 170-176 см.)</t>
  </si>
  <si>
    <t>Shine Systems футболка черная "Detailer Cat", L</t>
  </si>
  <si>
    <t>Shine Systems IronOFF - бескислотный очиститель дисков с индикатором, 20 л</t>
  </si>
  <si>
    <t>Shine Systems Ручной скребок 15,24 см</t>
  </si>
  <si>
    <t>Shine Systems Шаблон для нарезки кругов, диаметр 0,13*0,25мм</t>
  </si>
  <si>
    <t>Shine Systems PPF TPU-190 Soft - антигравийная защитная полиуретановая пленка для авто с мягким топом, 1,52*15м 190мкм</t>
  </si>
  <si>
    <t>Shine Systems Жилет утепленный (черный), размер 56-58</t>
  </si>
  <si>
    <t>Shine Systems Кепка козырек с белой полосой (розовый лого)</t>
  </si>
  <si>
    <t>Shine Systems Решетка вентилятора для озоногенератора OZON-10000</t>
  </si>
  <si>
    <t>NF 2 тест 20 кг</t>
  </si>
  <si>
    <t>Shine Systems RO Mini Polisher Корпус головной передачи в сборе</t>
  </si>
  <si>
    <t>Shine Systems DA75 Polisher Головная коробка (редуктор)</t>
  </si>
  <si>
    <t>Shine Systems Turbo Car Dryer DBL Motor - турбина 1200 Вт для турбосушки</t>
  </si>
  <si>
    <t>Shine Systems Толстовка черная с логотипом на молнии размер L</t>
  </si>
  <si>
    <t>Shine Systems FastQuartz - быстрое супергидрофобное покрытие, 5 л</t>
  </si>
  <si>
    <t>Shine Systems RO Polisher - Ротор с прокладкой и магнитным кольцом</t>
  </si>
  <si>
    <t>Shine Systems Толстовка черная с логотипом на молнии размер М</t>
  </si>
  <si>
    <t>Shine Systems NanoPolisher - Подложка 30 мм</t>
  </si>
  <si>
    <t>Shine Systems Инстумент для натяжения и закрепления пленки на выступающих краях 50см</t>
  </si>
  <si>
    <t>Shine Systems Полукомбинезон влагозащитный (размер 56/58, на рост 182-188 см.)</t>
  </si>
  <si>
    <t>Shine Systems Скребок с противоскользящей ручкой</t>
  </si>
  <si>
    <t>Shine Systems футболка черная "Detailer Dog", XXL</t>
  </si>
  <si>
    <t>Shine Systems футболка черная "PowerCut" - S</t>
  </si>
  <si>
    <t>Shine Systems Чехол для чемодана Black Car, размер M</t>
  </si>
  <si>
    <t>Shine Systems Turbo Car Dryer SNGL PCB - блок управления для турбосушки</t>
  </si>
  <si>
    <t>Shine Systems Баннер Shine Systems</t>
  </si>
  <si>
    <t>Shine Systems Костюм влагозащитный куртка+полукомбинезон (размер 56/58, на рост 170-176 см.)</t>
  </si>
  <si>
    <t>Shine Systems Полукомбинезон влагозащитный (размер 44/46, на рост 170-176 см.)</t>
  </si>
  <si>
    <t>Shine Systems Ручка с вращающимся роликом для швов</t>
  </si>
  <si>
    <t>Shine Systems Складной коврик 120*40см</t>
  </si>
  <si>
    <t>Shine Systems Губчатый Валик</t>
  </si>
  <si>
    <t>Shine Systems Инстумент для натяжения и закрепления пленки на выступающих краях 30см</t>
  </si>
  <si>
    <t>Shine Systems Куртка утепленная с капюшоном 44-46</t>
  </si>
  <si>
    <t>Shine Systems Полукомбинезон влагозащитный (размер 48/50, на рост 170-176 см.)</t>
  </si>
  <si>
    <t>Shine Systems футболка черная "Detailer Dog", XL</t>
  </si>
  <si>
    <t>Shine Systems DA75, RO mini Polisher Статор</t>
  </si>
  <si>
    <t>Shine Systems Держатель для виниловых пленок</t>
  </si>
  <si>
    <t>Shine Systems Подставка на колесах для спреера</t>
  </si>
  <si>
    <t>Shine Systems Сменный шланг 9 м и распылитель,коннектор</t>
  </si>
  <si>
    <t>Shine Systems AroMatt Opulent - парфюм на водной основе, 200 мл</t>
  </si>
  <si>
    <t>Shine Systems DA15 Polisher Armature - ротор с магнитным кольцом</t>
  </si>
  <si>
    <t>Shine Systems DA21 Polisher - Защитный кожух противовеса</t>
  </si>
  <si>
    <t>Shine Systems Turbo Car Dryer SNGL - турбосушка однотурбинная с подогревом 2800Вт</t>
  </si>
  <si>
    <t>Shine Systems Костюм влагозащитный куртка+полукомбинезон (размер 44/46, на рост 170-176 см.)</t>
  </si>
  <si>
    <t>Shine Systems Толстовка черная с логотипом на молнии размер XL</t>
  </si>
  <si>
    <t>Shine Systems футболка черная "PowerCut" - M</t>
  </si>
  <si>
    <t>Shine Systems DA75 Polisher - полировальная машинка эксцентриковая, 75 мм, ход 12 мм</t>
  </si>
  <si>
    <t>Shine Systems NanoPolisher - Подложка 50 мм</t>
  </si>
  <si>
    <t>Shine Systems Костюм влагозащитный куртка+полукомбинезон (размер 56/58, на рост 182-188 см.)</t>
  </si>
  <si>
    <t>Shine Systems Костюм куртка+полукомбинезон (размер 56/58, на рост 182-188 см.)</t>
  </si>
  <si>
    <t>Shine Systems Рубашка (поло), черная - S</t>
  </si>
  <si>
    <t>Shine Systems Футболка трикотажная (черная) - XXL</t>
  </si>
  <si>
    <t>Shine Systems футболка черная "Detailer Cat", S</t>
  </si>
  <si>
    <t>Shine Systems DA21, RO Polisher - Статор</t>
  </si>
  <si>
    <t>Shine Systems Кепка с прямым козырьком (голубой логотип)</t>
  </si>
  <si>
    <t>Shine Systems Магнитный держатель для фена</t>
  </si>
  <si>
    <t>Shine Systems Флаг парус</t>
  </si>
  <si>
    <t>Shine Systems футболка черная "Detailer Cat", XXL</t>
  </si>
  <si>
    <t>Shine Systems футболка черная "Detailer Dog", M</t>
  </si>
  <si>
    <t>Shine Systems Футболка черная "Let`s polish it" L</t>
  </si>
  <si>
    <t>Shine Systems футболка черная "PowerCut" - L</t>
  </si>
  <si>
    <t>Shine Systems DA15 Polisher Пружина d32 (стопорное кольцо)</t>
  </si>
  <si>
    <t>Shine Systems Полукомбинезон влагозащитный (размер 52/54, на рост 182-188 см.)</t>
  </si>
  <si>
    <t>Shine Systems футболка черная "Detailer Cat", XL</t>
  </si>
  <si>
    <t>Shine Systems DA15 Polisher Статор</t>
  </si>
  <si>
    <t>Shine Systems PPF TPU-215 Soft - антигравийная защитная полиуретановая пленка для авто с мягким топом, 1,52*15м 215мкм</t>
  </si>
  <si>
    <t>Shine Systems Кепка черный козырек NEW (зеленый лого)</t>
  </si>
  <si>
    <t>Shine Systems Рубашка (поло), черная - M</t>
  </si>
  <si>
    <t>Shine Systems футболка черная "Detailer Cat", M</t>
  </si>
  <si>
    <t>Shine Systems DA-15,DA-21 Polisher - Подшипник 629</t>
  </si>
  <si>
    <t>Shine Systems PPF TPU-190 Black - антигравийная защитная полиуретановая пленка для авто, 1,52*15м 190мкм</t>
  </si>
  <si>
    <t>Shine Systems плакат А1 "FastQuartz"</t>
  </si>
  <si>
    <t>Shine Systems Худи "Selfie" тёмно-синяя (вышивка) - L</t>
  </si>
  <si>
    <t>Куртка рабочая, цвет серый (размер 56/58, на рост 170-176 см.)</t>
  </si>
  <si>
    <t>Shine Systems Кепка козырек с белой полосой (оранжевый лого)</t>
  </si>
  <si>
    <t>Shine Systems Кепка с прямым козырьком (зеленый логотип)</t>
  </si>
  <si>
    <t>Shine Systems утепленный жилет (черный), размер 46</t>
  </si>
  <si>
    <t>Shine Systems футболка черная "Black Line" - M</t>
  </si>
  <si>
    <t>Shine Systems DA-15,RO Polisher - Подшипник 696</t>
  </si>
  <si>
    <t>Shine Systems Кепка козырек с белой полосой (зеленый лого)</t>
  </si>
  <si>
    <t>Shine Systems Костюм влагозащитный куртка+полукомбинезон (размер 52/54, на рост 170-176 см.)</t>
  </si>
  <si>
    <t>Shine Systems Футболка черная "Find Your Passion" XXL</t>
  </si>
  <si>
    <t>Shine Systems Футболка черная "Let`s polish it" XL</t>
  </si>
  <si>
    <t>Shine Systems Чехол для чемодана Blue, размер S</t>
  </si>
  <si>
    <t>Куртка рабочая, цвет серый (размер 52/54, на рост 182-188 см.)</t>
  </si>
  <si>
    <t>Shine Systems Turbo Car Dryer Hose Connector - соединитель шланга для турбосушки</t>
  </si>
  <si>
    <t>Shine Systems Кепка с прямым козырьком (розовый логотип)</t>
  </si>
  <si>
    <t>Shine Systems Кепка черный козырек NEW (розовый лого)</t>
  </si>
  <si>
    <t>Shine Systems Костюм куртка+полукомбинезон (размер 48/50, на рост 170-176 см.)</t>
  </si>
  <si>
    <t>Shine Systems Полукомбинезон влагозащитный (размер 48/50, на рост 182-188 см.)</t>
  </si>
  <si>
    <t>Shine Systems Рубашка (поло), черная - XXL</t>
  </si>
  <si>
    <t>Shine Systems Худи "Selfie" тёмно-синяя (вышивка) - S</t>
  </si>
  <si>
    <t>Shine Systems Худи "Selfie" тёмно-синяя (вышивка) - XXL</t>
  </si>
  <si>
    <t>Shine Systems Магнитная рукоятка с ракелем 90А 12,5*10см</t>
  </si>
  <si>
    <t>Shine Systems Худи "Selfie" тёмно-синяя (вышивка) - XXXL</t>
  </si>
  <si>
    <t>Куртка рабочая, цвет серый (размер 56/58, на рост 182-188 см.)</t>
  </si>
  <si>
    <t>Полукомбинезон рабочий, серый (размер 56/58, на рост 182-188 см.)</t>
  </si>
  <si>
    <t>Shine Systems DA21 Polisher - кожух вентилятора</t>
  </si>
  <si>
    <t>Shine Systems АВД RR 1520N DX Моноблок</t>
  </si>
  <si>
    <t>Shine Systems Кепка с прямым козырьком (оранжевый логотип)</t>
  </si>
  <si>
    <t>Shine Systems Костюм влагозащитный куртка+полукомбинезон (размер 52/54, на рост 182-188 см.)</t>
  </si>
  <si>
    <t>Shine Systems Лента для краски малярная 6мм</t>
  </si>
  <si>
    <t>Shine Systems Толстовка черная с логотипом на молнии размер XXL</t>
  </si>
  <si>
    <t>Shine Systems Флаг парус PPF Always protected</t>
  </si>
  <si>
    <t>Shine Systems футболка черная "Black Line" - S</t>
  </si>
  <si>
    <t>Куртка рабочая, цвет серый (размер 48/50, на рост 182-188 см.)</t>
  </si>
  <si>
    <t>Shine Systems DA-15,DA-21,RO Polisher- Подшипник 607</t>
  </si>
  <si>
    <t>Shine Systems DA75 Polisher Output Shaft - Выходной вал</t>
  </si>
  <si>
    <t>Shine Systems RO Mini Polisher Armature - ротор с прокладкой и магнитным кольцом</t>
  </si>
  <si>
    <t>Куртка рабочая, цвет серый (размер 52/54, на рост 170-176 см.)</t>
  </si>
  <si>
    <t>NF 3 тест 20 кг</t>
  </si>
  <si>
    <t>NF 6 тест 20 кг</t>
  </si>
  <si>
    <t>Shine Systems Куртка утепленная с капюшоном 48-50</t>
  </si>
  <si>
    <t>Shine Systems Куртка утепленная с капюшоном 52-54</t>
  </si>
  <si>
    <t>Shine Systems Куртка утепленная с капюшоном 56-58</t>
  </si>
  <si>
    <t>Shine Systems Лезвие из углеродистой стали черного цвета, 30°, 9 мм 50 шт/упак</t>
  </si>
  <si>
    <t>Shine Systems утепленный жилет (черный), размер 56</t>
  </si>
  <si>
    <t>Костюм куртка+брюки (размер 44/46, на рост 170-176 см.) серый/красный</t>
  </si>
  <si>
    <t>Полукомбинезон рабочий, серый (размер 48/50, на рост 182-188 см.)</t>
  </si>
  <si>
    <t>Shine Systems плакат А1 "Pink Foam"</t>
  </si>
  <si>
    <t>Shine Systems Пластиковый скребок со стальным лезвием</t>
  </si>
  <si>
    <t>Shine Systems футболка черная "Detailer Dog", S</t>
  </si>
  <si>
    <t>Костюм куртка+брюки (размер 56/58, на рост 182-188 см.) серый/красный</t>
  </si>
  <si>
    <t>SS483</t>
  </si>
  <si>
    <t>SS909</t>
  </si>
  <si>
    <t>SS571</t>
  </si>
  <si>
    <t>SS710</t>
  </si>
  <si>
    <t>SS750</t>
  </si>
  <si>
    <t>SS518</t>
  </si>
  <si>
    <t>SS485</t>
  </si>
  <si>
    <t>SS717</t>
  </si>
  <si>
    <t>SS883</t>
  </si>
  <si>
    <t>SS370</t>
  </si>
  <si>
    <t>SS416</t>
  </si>
  <si>
    <t>SS984</t>
  </si>
  <si>
    <t>SS749</t>
  </si>
  <si>
    <t>SS454</t>
  </si>
  <si>
    <t>SS693</t>
  </si>
  <si>
    <t>SS778</t>
  </si>
  <si>
    <t>SS844</t>
  </si>
  <si>
    <t>SS774</t>
  </si>
  <si>
    <t>SS1022</t>
  </si>
  <si>
    <t>SS678</t>
  </si>
  <si>
    <t>SS692</t>
  </si>
  <si>
    <t>SS520</t>
  </si>
  <si>
    <t>SS1000</t>
  </si>
  <si>
    <t>SS857</t>
  </si>
  <si>
    <t>SS899</t>
  </si>
  <si>
    <t>SS673</t>
  </si>
  <si>
    <t>SS696</t>
  </si>
  <si>
    <t>SS664</t>
  </si>
  <si>
    <t>CS001</t>
  </si>
  <si>
    <t>SS856</t>
  </si>
  <si>
    <t>SS278</t>
  </si>
  <si>
    <t>SS1010</t>
  </si>
  <si>
    <t>SS704</t>
  </si>
  <si>
    <t>SS740</t>
  </si>
  <si>
    <t>SS265</t>
  </si>
  <si>
    <t>SS617</t>
  </si>
  <si>
    <t>SS310</t>
  </si>
  <si>
    <t>SSBL957</t>
  </si>
  <si>
    <t>SS1011</t>
  </si>
  <si>
    <t>SS382</t>
  </si>
  <si>
    <t>SS525</t>
  </si>
  <si>
    <t>SS771</t>
  </si>
  <si>
    <t>SS676/23</t>
  </si>
  <si>
    <t>SS987</t>
  </si>
  <si>
    <t>SS482</t>
  </si>
  <si>
    <t>SS814</t>
  </si>
  <si>
    <t>SS161</t>
  </si>
  <si>
    <t>SS722</t>
  </si>
  <si>
    <t>SS966</t>
  </si>
  <si>
    <t>SS919</t>
  </si>
  <si>
    <t>SS452</t>
  </si>
  <si>
    <t>SS453</t>
  </si>
  <si>
    <t>SS676/17</t>
  </si>
  <si>
    <t>SS680</t>
  </si>
  <si>
    <t>SS715</t>
  </si>
  <si>
    <t>SS792</t>
  </si>
  <si>
    <t>SS163</t>
  </si>
  <si>
    <t>SS679</t>
  </si>
  <si>
    <t>SS397</t>
  </si>
  <si>
    <t>SS333</t>
  </si>
  <si>
    <t>SSBL959</t>
  </si>
  <si>
    <t>SS326</t>
  </si>
  <si>
    <t>SS639</t>
  </si>
  <si>
    <t>SS162</t>
  </si>
  <si>
    <t>SS390</t>
  </si>
  <si>
    <t>SS339</t>
  </si>
  <si>
    <t>SSBL992</t>
  </si>
  <si>
    <t>SS938</t>
  </si>
  <si>
    <t>SS681</t>
  </si>
  <si>
    <t>SS747</t>
  </si>
  <si>
    <t>SS969</t>
  </si>
  <si>
    <t>SS959</t>
  </si>
  <si>
    <t>SS519</t>
  </si>
  <si>
    <t>SS576</t>
  </si>
  <si>
    <t>SSBL990</t>
  </si>
  <si>
    <t>SS306</t>
  </si>
  <si>
    <t>SS221</t>
  </si>
  <si>
    <t>SS581</t>
  </si>
  <si>
    <t>SS637</t>
  </si>
  <si>
    <t>SS649</t>
  </si>
  <si>
    <t>SS1001</t>
  </si>
  <si>
    <t>SS968</t>
  </si>
  <si>
    <t>SS599</t>
  </si>
  <si>
    <t>SSHL999</t>
  </si>
  <si>
    <t>SS038</t>
  </si>
  <si>
    <t>SS229</t>
  </si>
  <si>
    <t>SS832</t>
  </si>
  <si>
    <t>SS780</t>
  </si>
  <si>
    <t>SS624/28</t>
  </si>
  <si>
    <t>SS374</t>
  </si>
  <si>
    <t>SS686</t>
  </si>
  <si>
    <t>SS299</t>
  </si>
  <si>
    <t>SS892</t>
  </si>
  <si>
    <t>SS068</t>
  </si>
  <si>
    <t>SS528/1</t>
  </si>
  <si>
    <t>SS270</t>
  </si>
  <si>
    <t>SS702</t>
  </si>
  <si>
    <t>SS355</t>
  </si>
  <si>
    <t>SS444</t>
  </si>
  <si>
    <t>SS529</t>
  </si>
  <si>
    <t>SS486</t>
  </si>
  <si>
    <t>SS480</t>
  </si>
  <si>
    <t>SS354</t>
  </si>
  <si>
    <t>SS082</t>
  </si>
  <si>
    <t>1 006 701</t>
  </si>
  <si>
    <t>SS376</t>
  </si>
  <si>
    <t>SS069</t>
  </si>
  <si>
    <t>SS597</t>
  </si>
  <si>
    <t>SS445</t>
  </si>
  <si>
    <t>SS675/57</t>
  </si>
  <si>
    <t>SS119</t>
  </si>
  <si>
    <t>SS117</t>
  </si>
  <si>
    <t>SS396</t>
  </si>
  <si>
    <t>SS064</t>
  </si>
  <si>
    <t>SS980</t>
  </si>
  <si>
    <t>SS063</t>
  </si>
  <si>
    <t>SS624/30</t>
  </si>
  <si>
    <t>SS381</t>
  </si>
  <si>
    <t>23 212</t>
  </si>
  <si>
    <t>SS084</t>
  </si>
  <si>
    <t>SS244</t>
  </si>
  <si>
    <t>SS085</t>
  </si>
  <si>
    <t>SS645</t>
  </si>
  <si>
    <t>SS998</t>
  </si>
  <si>
    <t>SS377</t>
  </si>
  <si>
    <t>SS057</t>
  </si>
  <si>
    <t>SS123</t>
  </si>
  <si>
    <t>SS042</t>
  </si>
  <si>
    <t>SS271</t>
  </si>
  <si>
    <t>SS387</t>
  </si>
  <si>
    <t>SS120</t>
  </si>
  <si>
    <t>SS246</t>
  </si>
  <si>
    <t>SS894</t>
  </si>
  <si>
    <t>SS087</t>
  </si>
  <si>
    <t>SS053</t>
  </si>
  <si>
    <t>SS598</t>
  </si>
  <si>
    <t>SS373</t>
  </si>
  <si>
    <t>SS386</t>
  </si>
  <si>
    <t>SS081</t>
  </si>
  <si>
    <t>SS675/45</t>
  </si>
  <si>
    <t>SS032</t>
  </si>
  <si>
    <t>SS674/42</t>
  </si>
  <si>
    <t>SS065</t>
  </si>
  <si>
    <t>SS297</t>
  </si>
  <si>
    <t>SS056</t>
  </si>
  <si>
    <t>SS124</t>
  </si>
  <si>
    <t>SS676/22,24</t>
  </si>
  <si>
    <t>SS689</t>
  </si>
  <si>
    <t>SS494</t>
  </si>
  <si>
    <t>SS528</t>
  </si>
  <si>
    <t>SS699</t>
  </si>
  <si>
    <t>SS675/10</t>
  </si>
  <si>
    <t>SS677/47</t>
  </si>
  <si>
    <t>SS061</t>
  </si>
  <si>
    <t>SS088</t>
  </si>
  <si>
    <t>SS073</t>
  </si>
  <si>
    <t>SS677/45,49</t>
  </si>
  <si>
    <t>SS066</t>
  </si>
  <si>
    <t>SS090</t>
  </si>
  <si>
    <t>SS675/30</t>
  </si>
  <si>
    <t>SS037</t>
  </si>
  <si>
    <t>SS674/43</t>
  </si>
  <si>
    <t>SS215</t>
  </si>
  <si>
    <t>SS072</t>
  </si>
  <si>
    <t>SS168</t>
  </si>
  <si>
    <t>SS075</t>
  </si>
  <si>
    <t>SS378</t>
  </si>
  <si>
    <t>SS296</t>
  </si>
  <si>
    <t>SS676/41</t>
  </si>
  <si>
    <t>SS365</t>
  </si>
  <si>
    <t>SS930</t>
  </si>
  <si>
    <t>SS676/40-47</t>
  </si>
  <si>
    <t>SS495</t>
  </si>
  <si>
    <t>SS690</t>
  </si>
  <si>
    <t>SS086</t>
  </si>
  <si>
    <t>SS129</t>
  </si>
  <si>
    <t>SS302</t>
  </si>
  <si>
    <t>SS045</t>
  </si>
  <si>
    <t>SS214</t>
  </si>
  <si>
    <t>SS291</t>
  </si>
  <si>
    <t>SS269</t>
  </si>
  <si>
    <t>SS677/44</t>
  </si>
  <si>
    <t>SS474</t>
  </si>
  <si>
    <t>SS170</t>
  </si>
  <si>
    <t>SS393</t>
  </si>
  <si>
    <t>SS130</t>
  </si>
  <si>
    <t>SS772</t>
  </si>
  <si>
    <t>SS079</t>
  </si>
  <si>
    <t>SS674/51-56</t>
  </si>
  <si>
    <t>SS030</t>
  </si>
  <si>
    <t>SS247</t>
  </si>
  <si>
    <t>SS653</t>
  </si>
  <si>
    <t>SS475</t>
  </si>
  <si>
    <t>SS945</t>
  </si>
  <si>
    <t>SS674/42-48</t>
  </si>
  <si>
    <t>SS677/24</t>
  </si>
  <si>
    <t>SS138</t>
  </si>
  <si>
    <t>SS896</t>
  </si>
  <si>
    <t>SS151</t>
  </si>
  <si>
    <t>SS106</t>
  </si>
  <si>
    <t>SS074</t>
  </si>
  <si>
    <t>SS385</t>
  </si>
  <si>
    <t>SS172</t>
  </si>
  <si>
    <t>SS406</t>
  </si>
  <si>
    <t>SS156</t>
  </si>
  <si>
    <t>SS154</t>
  </si>
  <si>
    <t>SS493</t>
  </si>
  <si>
    <t>SS510</t>
  </si>
  <si>
    <t>SS155</t>
  </si>
  <si>
    <t>SS017</t>
  </si>
  <si>
    <t>SS394</t>
  </si>
  <si>
    <t>SS529/5</t>
  </si>
  <si>
    <t>SS674/10</t>
  </si>
  <si>
    <t>SS029</t>
  </si>
  <si>
    <t>SS712</t>
  </si>
  <si>
    <t>SS083</t>
  </si>
  <si>
    <t>SS098</t>
  </si>
  <si>
    <t>SS656</t>
  </si>
  <si>
    <t>SS116</t>
  </si>
  <si>
    <t>SS035</t>
  </si>
  <si>
    <t>SS522</t>
  </si>
  <si>
    <t>SS140</t>
  </si>
  <si>
    <t>SS490</t>
  </si>
  <si>
    <t>SS594</t>
  </si>
  <si>
    <t>SS676/09</t>
  </si>
  <si>
    <t>SS766</t>
  </si>
  <si>
    <t>SS330</t>
  </si>
  <si>
    <t>SS293</t>
  </si>
  <si>
    <t>SS655</t>
  </si>
  <si>
    <t>SS031</t>
  </si>
  <si>
    <t>SS211</t>
  </si>
  <si>
    <t>SS943</t>
  </si>
  <si>
    <t>SS674/24,26</t>
  </si>
  <si>
    <t>SS660</t>
  </si>
  <si>
    <t>SS676/50-55</t>
  </si>
  <si>
    <t>SS657</t>
  </si>
  <si>
    <t>SS676/26</t>
  </si>
  <si>
    <t>SS674/14,15,16</t>
  </si>
  <si>
    <t>SS675/24,25</t>
  </si>
  <si>
    <t>SS933</t>
  </si>
  <si>
    <t>SS067</t>
  </si>
  <si>
    <t>SS089</t>
  </si>
  <si>
    <t>SS182</t>
  </si>
  <si>
    <t>SS529/3</t>
  </si>
  <si>
    <t>SS624/44</t>
  </si>
  <si>
    <t>SS188</t>
  </si>
  <si>
    <t>SS675/42-49</t>
  </si>
  <si>
    <t>SS677/07</t>
  </si>
  <si>
    <t>SS099</t>
  </si>
  <si>
    <t>SS675/15,16,17</t>
  </si>
  <si>
    <t>SS675/44</t>
  </si>
  <si>
    <t>SS677/04,38-48</t>
  </si>
  <si>
    <t>SS675/11</t>
  </si>
  <si>
    <t>SS132</t>
  </si>
  <si>
    <t>SS308</t>
  </si>
  <si>
    <t>SS272</t>
  </si>
  <si>
    <t>SS242</t>
  </si>
  <si>
    <t>SS046</t>
  </si>
  <si>
    <t>SS421</t>
  </si>
  <si>
    <t>SS198</t>
  </si>
  <si>
    <t>SS491</t>
  </si>
  <si>
    <t>SS049</t>
  </si>
  <si>
    <t>SS529/2</t>
  </si>
  <si>
    <t>SS243</t>
  </si>
  <si>
    <t>SS133</t>
  </si>
  <si>
    <t>SS091</t>
  </si>
  <si>
    <t>SS071</t>
  </si>
  <si>
    <t>SS285</t>
  </si>
  <si>
    <t>SS755</t>
  </si>
  <si>
    <t>SS654</t>
  </si>
  <si>
    <t>SS341</t>
  </si>
  <si>
    <t>SS659</t>
  </si>
  <si>
    <t>SS027</t>
  </si>
  <si>
    <t>SS751</t>
  </si>
  <si>
    <t>SS292</t>
  </si>
  <si>
    <t>SS419</t>
  </si>
  <si>
    <t>SS195</t>
  </si>
  <si>
    <t>SS677/49-57</t>
  </si>
  <si>
    <t>SS375</t>
  </si>
  <si>
    <t>SS217</t>
  </si>
  <si>
    <t>SS281</t>
  </si>
  <si>
    <t>SS250</t>
  </si>
  <si>
    <t>SS179</t>
  </si>
  <si>
    <t>SS499</t>
  </si>
  <si>
    <t>SS609/16</t>
  </si>
  <si>
    <t>SS093</t>
  </si>
  <si>
    <t>SS018</t>
  </si>
  <si>
    <t>SS223</t>
  </si>
  <si>
    <t>SS286</t>
  </si>
  <si>
    <t>SS676/14,15</t>
  </si>
  <si>
    <t>SS028</t>
  </si>
  <si>
    <t>SS137</t>
  </si>
  <si>
    <t>SS039</t>
  </si>
  <si>
    <t>SS674/27</t>
  </si>
  <si>
    <t>SS610/2</t>
  </si>
  <si>
    <t>SS094</t>
  </si>
  <si>
    <t>SS044</t>
  </si>
  <si>
    <t>SS284</t>
  </si>
  <si>
    <t>SS128</t>
  </si>
  <si>
    <t>SS256</t>
  </si>
  <si>
    <t>SS275</t>
  </si>
  <si>
    <t>SS781</t>
  </si>
  <si>
    <t>SS216</t>
  </si>
  <si>
    <t>SS134</t>
  </si>
  <si>
    <t>SS658</t>
  </si>
  <si>
    <t>SS1009</t>
  </si>
  <si>
    <t>SS895</t>
  </si>
  <si>
    <t>SS624/39-49</t>
  </si>
  <si>
    <t>SS675/06-08,39-41</t>
  </si>
  <si>
    <t>SS609/9</t>
  </si>
  <si>
    <t>SS684</t>
  </si>
  <si>
    <t>SS646</t>
  </si>
  <si>
    <t>SS677/11,12,13</t>
  </si>
  <si>
    <t>SS685</t>
  </si>
  <si>
    <t>SS529/6</t>
  </si>
  <si>
    <t>SS860</t>
  </si>
  <si>
    <t>SS257</t>
  </si>
  <si>
    <t>SS946</t>
  </si>
  <si>
    <t>SS204</t>
  </si>
  <si>
    <t>SS513</t>
  </si>
  <si>
    <t>SS282</t>
  </si>
  <si>
    <t>SS610/1</t>
  </si>
  <si>
    <t>SS263</t>
  </si>
  <si>
    <t>SS251</t>
  </si>
  <si>
    <t>SS280</t>
  </si>
  <si>
    <t>SS136</t>
  </si>
  <si>
    <t>SS152</t>
  </si>
  <si>
    <t>SS911</t>
  </si>
  <si>
    <t>SS667</t>
  </si>
  <si>
    <t>SS252</t>
  </si>
  <si>
    <t>SS203</t>
  </si>
  <si>
    <t>SS675/22</t>
  </si>
  <si>
    <t>SS977</t>
  </si>
  <si>
    <t>SS167</t>
  </si>
  <si>
    <t>SS169</t>
  </si>
  <si>
    <t>SS674/49</t>
  </si>
  <si>
    <t>SS610</t>
  </si>
  <si>
    <t>SS258</t>
  </si>
  <si>
    <t>SS683</t>
  </si>
  <si>
    <t>SS511</t>
  </si>
  <si>
    <t>SS529/7</t>
  </si>
  <si>
    <t>SS264</t>
  </si>
  <si>
    <t>SS705</t>
  </si>
  <si>
    <t>SS496</t>
  </si>
  <si>
    <t>SS593</t>
  </si>
  <si>
    <t>SS273</t>
  </si>
  <si>
    <t>SS677/19</t>
  </si>
  <si>
    <t>SS502</t>
  </si>
  <si>
    <t>SS855</t>
  </si>
  <si>
    <t>SS663</t>
  </si>
  <si>
    <t>SS277</t>
  </si>
  <si>
    <t>SS201</t>
  </si>
  <si>
    <t>SS607</t>
  </si>
  <si>
    <t>SS512</t>
  </si>
  <si>
    <t>SS676/42</t>
  </si>
  <si>
    <t>SS255</t>
  </si>
  <si>
    <t>SS276</t>
  </si>
  <si>
    <t>SS676/20</t>
  </si>
  <si>
    <t>SS279</t>
  </si>
  <si>
    <t>SS1005</t>
  </si>
  <si>
    <t>SS498</t>
  </si>
  <si>
    <t>SS274</t>
  </si>
  <si>
    <t>SS676/10</t>
  </si>
  <si>
    <t>SS700</t>
  </si>
  <si>
    <t>SS237</t>
  </si>
  <si>
    <t>SS1008</t>
  </si>
  <si>
    <t>SS501</t>
  </si>
  <si>
    <t>SS508</t>
  </si>
  <si>
    <t>SS676/39</t>
  </si>
  <si>
    <t>SS1007</t>
  </si>
  <si>
    <t>SS261</t>
  </si>
  <si>
    <t>SS601</t>
  </si>
  <si>
    <t>SS606</t>
  </si>
  <si>
    <t>SS283</t>
  </si>
  <si>
    <t>SS268</t>
  </si>
  <si>
    <t>SS503</t>
  </si>
  <si>
    <t>SS1006</t>
  </si>
  <si>
    <t>SS253</t>
  </si>
  <si>
    <t>SS235</t>
  </si>
  <si>
    <t>SS180</t>
  </si>
  <si>
    <t>SS146</t>
  </si>
  <si>
    <t>SS194</t>
  </si>
  <si>
    <t>Shine Systems</t>
  </si>
  <si>
    <t>Shine Systems Лезвия из нержавеющей стали, 9 мм, 60 градусов, 10 шт</t>
  </si>
  <si>
    <t>Shine Systems Лезвия из углеродистой стали, 18 мм, 30 градусов, 10 шт, черные</t>
  </si>
  <si>
    <t>Shine Systems Лезвия перовые черные, 10шт</t>
  </si>
  <si>
    <t>Shine Systems Лезвия из углеродистой стали, 18 мм, 60 градусов, 10 шт, черные</t>
  </si>
  <si>
    <t>Shine Systems Магнит с кольцом для фиксации пленки, 50 мм</t>
  </si>
  <si>
    <t>Shine Systems EcoFoam - активный шампунь для бесконтактной мойки, 5 л</t>
  </si>
  <si>
    <t>Shine Systems Кольцо-зажим для открытых рулонов, 15 см</t>
  </si>
  <si>
    <t>Shine Systems IronOFF Gel - нейтральный очиститель дисков с индикатором, 5 л</t>
  </si>
  <si>
    <t>Shine Systems Валик прикаточный полиуретановый высокотемпературный 50 мм</t>
  </si>
  <si>
    <t>Shine Systems Лезвия из углеродистой стали, 9 мм, 30 градусов, 50 шт, красные</t>
  </si>
  <si>
    <t>Shine Systems Нож безопасный со скрытым перьевым лезвием, черный</t>
  </si>
  <si>
    <t>Shine Systems Леска с трехпозиционными ручками для удаления эмблем, черный</t>
  </si>
  <si>
    <t>Shine Systems Нож-резак безопасный для пленки, красный</t>
  </si>
  <si>
    <t>Shine Systems Лезвия для скребка пластиковые 1,5" (38х19 мм),100шт, серые</t>
  </si>
  <si>
    <t>Shine Systems Кольцо-зажим для открытых рулонов, 11 см</t>
  </si>
  <si>
    <t>Shine Systems Кольцо-зажим для открытых рулонов, 8 см</t>
  </si>
  <si>
    <t>Shine Systems Лезвия для скребка пластиковые 1,5" (38х19 мм),100шт, белые</t>
  </si>
  <si>
    <t>Shine Systems Нож с роликами для проемов с зазорами 4-7,85мм + 10 лезвий</t>
  </si>
  <si>
    <t>Shine Systems Лезвия для скребка из углеродистой стали 1,5" (38х19 мм),100шт, черные</t>
  </si>
  <si>
    <t>Shine Systems Лезвия из углеродистой стали, 18 мм, 60 градусов, 10 шт</t>
  </si>
  <si>
    <t>Shine Systems Нож-скальпель макетный X-acto противоскользящий</t>
  </si>
  <si>
    <t>Shine Systems Нож-лопатка с мягким и твердым наконечником 2 в 1, 9мм, 30 градусов</t>
  </si>
  <si>
    <t>Shine Systems Лезвия для скребка из нержавеющей стали 1,5" (38х19 мм),100шт в блистере</t>
  </si>
  <si>
    <t>Shine Systems Лезвия для скребка пластиковые 1,5" (38х19 мм),100шт, красные</t>
  </si>
  <si>
    <t>Shine Systems Лезвия для скребка пластиковые 1,5" (38х19 мм),100шт, голубые</t>
  </si>
  <si>
    <t>Shine Systems Лезвия из нержавеющей стали, 9 мм, 60 градусов, 50 шт</t>
  </si>
  <si>
    <t>Shine Systems Лезвия для скребка из нержавеющей стали 1,5" (38х19 мм),100шт</t>
  </si>
  <si>
    <t>Shine Systems Закладной ракель для установки тонировочной пленки на боковые стекла, 33 см</t>
  </si>
  <si>
    <t>Shine Systems Нож-резак безопасный для пленки, набор 6 шт</t>
  </si>
  <si>
    <t>Shine Systems Нож-резак безопасный для пленки, желтый</t>
  </si>
  <si>
    <t>Shine Systems Угольник для подрезки углов</t>
  </si>
  <si>
    <t>Shine Systems Нож AeroBlade для точной резки кромки,10 лезвий</t>
  </si>
  <si>
    <t>Shine Systems FastQuartz - быстрое супергидрофобное покрытие, 750 мл</t>
  </si>
  <si>
    <t>Shine Systems FilmON - установочный состав для пленок, 750 мл</t>
  </si>
  <si>
    <t>Shine Systems FilmON - установочный состав для пленок, 5 л</t>
  </si>
  <si>
    <t>Shine Systems InsectOFF - очиститель следов насекомых, 5 л</t>
  </si>
  <si>
    <t>Shine Systems Набор лопаток для труднодоступных мест</t>
  </si>
  <si>
    <t>Shine Systems Лезвия для скребка из нержавеющей стали 6", 15,24 см, 25 шт</t>
  </si>
  <si>
    <t>Shine Systems Лезвия для скребка из нержавеющей стали 4", 10,16 см, 10 шт</t>
  </si>
  <si>
    <t>Shine Systems Магнит с войлоком для фиксации пленки, 42 мм</t>
  </si>
  <si>
    <t>Shine Systems Лезвия OLFA из углеродистой стали, 9 мм, 60 градусов, 50 шт</t>
  </si>
  <si>
    <t>SS687</t>
  </si>
  <si>
    <t>Shine Systems Магнит с металлической ручкой для фиксации пленки 42мм</t>
  </si>
  <si>
    <t>Shine Systems Упор-фиксатор для дверей, капота и багажника автомобиля</t>
  </si>
  <si>
    <t>SS239</t>
  </si>
  <si>
    <t>SS240</t>
  </si>
  <si>
    <t>SS674/20</t>
  </si>
  <si>
    <t>SS477</t>
  </si>
  <si>
    <t>SS517</t>
  </si>
  <si>
    <t>SS505</t>
  </si>
  <si>
    <t>SS676/16</t>
  </si>
  <si>
    <t>SS675/49</t>
  </si>
  <si>
    <t>SS624/15,16,17</t>
  </si>
  <si>
    <t>SS262</t>
  </si>
  <si>
    <t>SS682</t>
  </si>
  <si>
    <t>SS668</t>
  </si>
  <si>
    <t>SS666</t>
  </si>
  <si>
    <t>SS665</t>
  </si>
  <si>
    <t>Shine Systems Лезвие из углеродистой стали, 9 мм, 60 градусов, 10 шт, черные</t>
  </si>
  <si>
    <t>Shine Systems Нож с автостопом и стабилизатором, лезвие 9мм, 30 градусов, сталь SK2</t>
  </si>
  <si>
    <t>Shine Systems Лезвие из углеродистой стали, 9 мм, 30 градусов, 10 шт, черные</t>
  </si>
  <si>
    <t>Shine Systems Нож универсальный металлический, лезвие 9мм, 30 градусов, сталь SK5</t>
  </si>
  <si>
    <t>Shine Systems Лезвия из углеродистой стали, 18 мм, 30 градусов, 10 шт</t>
  </si>
  <si>
    <t>Shine Systems Нож-улитка для безопасной резки пленки, красный</t>
  </si>
  <si>
    <t>Shine Systems Лезвия из углеродистой стали, 9 мм, 30 градусов, 10 шт</t>
  </si>
  <si>
    <t>SS595</t>
  </si>
  <si>
    <t>Shine Systems плакат А4 "Система услуг"</t>
  </si>
  <si>
    <t>Shine Systems EuroWash - активный шампунь для бесконтактной мойки, 900 мл</t>
  </si>
  <si>
    <t>Shine Systems Лезвия из углеродистой стали, 9 мм, 30 градусов, 50 шт</t>
  </si>
  <si>
    <t>Shine Systems Нож стальной с винтовым фиксатором и авто-замком, лезвие 9мм, 60 градусов</t>
  </si>
  <si>
    <t>Shine Systems Лезвия из углеродистой стали, 9 мм, 60 градусов, 10 шт</t>
  </si>
  <si>
    <t>Shine Systems Магнит для фиксации пленки, диаметр 45мм</t>
  </si>
  <si>
    <t>Shine Systems SuperStar - активный шампунь для бесконтактной мойки, 900 мл</t>
  </si>
  <si>
    <t>Shine Systems Диск резиновый для снятия наклеек и этикеток, 100*20мм</t>
  </si>
  <si>
    <t>Shine Systems Лезвия из углеродистой стали, 9 мм, 60 градусов, 50 шт</t>
  </si>
  <si>
    <t>SS230</t>
  </si>
  <si>
    <t>Shine Systems Ракель пластиковый 7,6 см</t>
  </si>
  <si>
    <t>SS993</t>
  </si>
  <si>
    <t>Shine Systems Пинцет металлический с тонким прямым кончиком</t>
  </si>
  <si>
    <t>Shine Systems Нож-улитка для безопасной резки пленки, черный</t>
  </si>
  <si>
    <t>Shine Systems Набор инструментов для снятия обшивки салона, 9 шт</t>
  </si>
  <si>
    <t>Shine Systems Лезвия из углеродистой стали, 9 мм, 30 градусов, 10 шт, красные</t>
  </si>
  <si>
    <t>SS389</t>
  </si>
  <si>
    <t>Shine Systems Пинцет металлический с тонким изогнутым кончиком</t>
  </si>
  <si>
    <t>SS997</t>
  </si>
  <si>
    <t>Shine Systems Магнитный держатель для фиксации пленки</t>
  </si>
  <si>
    <t>Shine Systems Сгон силиконовый для воды 26см</t>
  </si>
  <si>
    <t>Shine Systems Лезвия для скребка из углеродистой стали 1,5" (38х19 мм),100шт</t>
  </si>
  <si>
    <t>SS388</t>
  </si>
  <si>
    <t>Shine Systems Пинцет металлический скругленный</t>
  </si>
  <si>
    <t>Shine Systems Крючок монтажный (скалер)</t>
  </si>
  <si>
    <t>Shine Systems Леска с ручками для удаления эмблем</t>
  </si>
  <si>
    <t>Shine Systems Лезвия из углеродистой стали, 9 мм, 30 градусов, 50 шт, синие</t>
  </si>
  <si>
    <t>Shine Systems Диск резиновый для снятия наклеек и этикеток, 100*25мм</t>
  </si>
  <si>
    <t>Shine Systems Нож стальной сверхпрочный, лезвие 9мм, 30 градусов</t>
  </si>
  <si>
    <t>Shine Systems Нож-скальпель макетный X-acto противоскользящий с набором лезвий 14 шт</t>
  </si>
  <si>
    <t>SS126</t>
  </si>
  <si>
    <t>Shine Systems Ракель твердостью 80A 7,2см</t>
  </si>
  <si>
    <t>Shine Systems Нож-скальпель макетный X-acto с магнитом для точной резки</t>
  </si>
  <si>
    <t>Shine Systems Сгон силиконовый для воды 46см</t>
  </si>
  <si>
    <t>SS184</t>
  </si>
  <si>
    <t>Shine Systems Стойка на колесах для хранения пленок</t>
  </si>
  <si>
    <t>Shine Systems EuroWash - активный шампунь для бесконтактной мойки, 5 л</t>
  </si>
  <si>
    <t>Shine Systems Скребок-мини со сменным пластиковым лезвием 1,5" (38*19мм)</t>
  </si>
  <si>
    <t>Shine Systems Скребок выдвижной стальной со сменным лезвием 1,5" (38*19мм)</t>
  </si>
  <si>
    <t>Shine Systems Скребок выдвижной с магнитом и отсеком для лезвий, стальное лезвие 1"5 (38*19мм)</t>
  </si>
  <si>
    <t>Shine Systems Скребок Triumph двусторонний со стальными лезвиями 1,5" (38*19мм)</t>
  </si>
  <si>
    <t>Shine Systems Скребок двусторонний со стальными сменными лезвиями 1,5" (38*19мм)</t>
  </si>
  <si>
    <t>SS808</t>
  </si>
  <si>
    <t>Shine Systems GlossProtection - наноконсервант для сушки и защиты кузова, 750 мл</t>
  </si>
  <si>
    <t>Shine Systems GlossProtection - наноконсервант для сушки и защиты кузова, 5 л</t>
  </si>
  <si>
    <t>Shine Systems DelicateWash - активный шампунь для деликатной мойки авто, 5 л</t>
  </si>
  <si>
    <t>SS736</t>
  </si>
  <si>
    <t>SS893</t>
  </si>
  <si>
    <t>SS958</t>
  </si>
  <si>
    <t>Shine Systems CherryBomb - автошампунь для ручной мойки, 750 мл</t>
  </si>
  <si>
    <t>SS877</t>
  </si>
  <si>
    <t>Shine Systems QuickDetailer Fresh - спрей-очиститель для быстрого ухода, 750 мл</t>
  </si>
  <si>
    <t>Shine Systems Sand Filter - грязевой сепаратор для ведра 268*52мм</t>
  </si>
  <si>
    <t>SS350</t>
  </si>
  <si>
    <t>Shine Systems Carpet Clips - комплект пластиковых зажимов для ковров, 4 шт</t>
  </si>
  <si>
    <t>SS596</t>
  </si>
  <si>
    <t>Shine Systems Bucket Wheel Base - подставка под ведро на колесиках</t>
  </si>
  <si>
    <t>SS481</t>
  </si>
  <si>
    <t>Shine Systems PreWash - активный шампунь для бесконтактной мойки, 5 л</t>
  </si>
  <si>
    <t>SS671</t>
  </si>
  <si>
    <t>Shine Systems MosquitOFF Concentrate - очиститель следов насекомых, 5 л</t>
  </si>
  <si>
    <t>SS641</t>
  </si>
  <si>
    <t>SS521</t>
  </si>
  <si>
    <t>Shine Systems Держатель для бутылок, 630 мм</t>
  </si>
  <si>
    <t>SS718</t>
  </si>
  <si>
    <t>Shine Systems LollipopShampoo - ручной автошампунь с эффектом леденца, 20 л</t>
  </si>
  <si>
    <t>РИББОН 110мм*300м W4U 100 CSO</t>
  </si>
  <si>
    <t>Этикетка полуглянец 100*70 пустая (400 шт)</t>
  </si>
  <si>
    <t>Shine Systems AbrasivePrep - абразивный очиститель стекла, 200 мл</t>
  </si>
  <si>
    <t>SS691</t>
  </si>
  <si>
    <t>Shine Systems Black Sponge - чёрная крупноячеистая губка для мойки кузова автомобиля 20*12*6см</t>
  </si>
  <si>
    <t>Shine Systems DA75 Polisher Carbon Brush - щетки для электродвигателя, 2шт</t>
  </si>
  <si>
    <t>SS609</t>
  </si>
  <si>
    <t>Shine Systems Turbo Car Dryer DBL - турбосушка двухтурбинная с подогревом 3000Вт</t>
  </si>
  <si>
    <t>Shine Systems Wash Sponge - губка крупноячеистая для мойки кузова 20*12*6см</t>
  </si>
  <si>
    <t>SS410</t>
  </si>
  <si>
    <t>Shine Systems Coating Sponge - аппликатор с прорезью для керамики 8*4,5*2 см</t>
  </si>
  <si>
    <t>SS818</t>
  </si>
  <si>
    <t>Shine Systems Wax Pad - аппликатор черный поролоновый круглый 10*2 см</t>
  </si>
  <si>
    <t>SS811</t>
  </si>
  <si>
    <t>Shine Systems Tire Applicator - аппликатор для чернения резины и пластика</t>
  </si>
  <si>
    <t>SS626</t>
  </si>
  <si>
    <t>Shine Systems Standart Trigger - распрыскиватель дисперсионный</t>
  </si>
  <si>
    <t>SS783</t>
  </si>
  <si>
    <t>Shine Systems Leather Brush - щетка для чистки кожи с натуральной щетиной</t>
  </si>
  <si>
    <t>Shine Systems BlackTire - кондиционер для шин, 750 мл</t>
  </si>
  <si>
    <t>Shine Systems PPF Gel - установочный гель, 750 мл</t>
  </si>
  <si>
    <t>Shine Systems Easy Dry Towel - супервпитывающая микрофибра для сушки кузова 50*60см, 600гр/м2</t>
  </si>
  <si>
    <t>Shine Systems DelicateWash - активный шампунь для деликатной мойки авто, 750 мл</t>
  </si>
  <si>
    <t>SS743</t>
  </si>
  <si>
    <t>Shine Systems CarpetCleaner - очиститель ковров и напольных покрытий, 750 мл</t>
  </si>
  <si>
    <t>Shine Systems PreWash - активный шампунь для бесконтактной мойки, 20 кг</t>
  </si>
  <si>
    <t>Shine Systems CarpetCleaner - очиститель ковров и напольных покрытий, 5 л</t>
  </si>
  <si>
    <t>Shine Systems WipeOFF 33*35 - Протирочные салфетки с перфорацией 2-х слойные, 1000 шт</t>
  </si>
  <si>
    <t>Shine Systems IPA - антисиликон-обезжириватель на спиртовой основе, 750 мл</t>
  </si>
  <si>
    <t>SS735</t>
  </si>
  <si>
    <t>SS631</t>
  </si>
  <si>
    <t>Shine Systems CationicShampoo - наношампунь для ручной мойки автомобиля, 20 кг</t>
  </si>
  <si>
    <t>SS1019</t>
  </si>
  <si>
    <t>Shine Systems футболка розовая Light Pink S</t>
  </si>
  <si>
    <t>SS1020</t>
  </si>
  <si>
    <t>Shine Systems футболка розовая Light Pink M</t>
  </si>
  <si>
    <t>SS1021</t>
  </si>
  <si>
    <t>Shine Systems футболка розовая Light Pink L</t>
  </si>
  <si>
    <t>Остатки</t>
  </si>
  <si>
    <t>с 01.02.2026</t>
  </si>
  <si>
    <t>по 01.09.2027</t>
  </si>
  <si>
    <t>от 26.01.2026</t>
  </si>
  <si>
    <t>от 26.01.2027</t>
  </si>
  <si>
    <t>Shine Systems FiberShampoo - шампунь для стирки микрофибры, 750 мл</t>
  </si>
  <si>
    <t>Shine Systems GlossyGlass - экспресс очиститель стекол, 750 мл</t>
  </si>
  <si>
    <t>Shine Systems IronOFF Gel - нейтральный очиститель дисков с индикатором, 750 мл</t>
  </si>
  <si>
    <t>Shine Systems GlassCleaner - универсальный очиститель стекол, 750 мл</t>
  </si>
  <si>
    <t>Shine Systems IPA PPF - спиртовой обезжириватель, 750 мл</t>
  </si>
  <si>
    <t>SS353</t>
  </si>
  <si>
    <t>Shine Systems FoamOff - пеногаситель, 200 мл</t>
  </si>
  <si>
    <t>SS709</t>
  </si>
  <si>
    <t>SS460</t>
  </si>
  <si>
    <t>Shine Systems QuickDetailer Banana - спрей-очиститель для быстрого ухода, 750 мл</t>
  </si>
  <si>
    <t>Shine Systems ResinOFF - очиститель древесных смол, 750 мл</t>
  </si>
  <si>
    <t>Shine Systems PadCleaner - очиститель полировальных кругов, 750 мл</t>
  </si>
  <si>
    <t>Shine Systems MotorCleaner - гель-диэлектрик для мойки двигателя, 5 л</t>
  </si>
  <si>
    <t>SS456</t>
  </si>
  <si>
    <t>Shine Systems BubbleWax - профессиональный пенный воск для сушки и защиты кузова с эффектом кавитации, 20 л</t>
  </si>
  <si>
    <t>SS352</t>
  </si>
  <si>
    <t>SS228</t>
  </si>
  <si>
    <t>Shine Systems Lubricant - лубрикант для работы с глиной и автоскрабами, 5 л</t>
  </si>
  <si>
    <t>SS804</t>
  </si>
  <si>
    <t>Shine Systems MotorCleaner - гель-диэлектрик для мойки двигателя, 20 л</t>
  </si>
  <si>
    <t>SS1003</t>
  </si>
  <si>
    <t>Shine Systems Кепка черный козырек NEW (голубой лого)</t>
  </si>
  <si>
    <t>Shine Systems BlackTire - кондиционер для шин, 5 л</t>
  </si>
  <si>
    <t>SS514</t>
  </si>
  <si>
    <t>Shine Systems Рубашка (поло) унисекс черная - M</t>
  </si>
  <si>
    <t>SS500</t>
  </si>
  <si>
    <t>Shine Systems Рубашка (поло), черная - XL</t>
  </si>
  <si>
    <t>Shine Systems EngineWash - очиститель двигателя и агрегатов, 5 л</t>
  </si>
  <si>
    <t>Shine Systems MotorCleaner - гель-диэлектрик для мойки двигателя, 750 мл</t>
  </si>
  <si>
    <t>SS1023</t>
  </si>
  <si>
    <t>Shine Systems Catalog 2026 Каталог продукции</t>
  </si>
  <si>
    <t>Shine Systems PinkFoam - активный шампунь для бесконтактной мойки, 750 мл</t>
  </si>
  <si>
    <t>SS787</t>
  </si>
  <si>
    <t>Shine Systems QuickDetailer Banana - спрей-очиститель для быстрого ухода, 200 мл</t>
  </si>
  <si>
    <t>Shine Systems Wheel Brush - щетка для чистки дисков с мягкой щетиной</t>
  </si>
  <si>
    <t>Shine Systems QuickDetailer Fresh - спрей-очиститель для быстрого ухода, 5 л</t>
  </si>
  <si>
    <t>SS225</t>
  </si>
  <si>
    <t>Shine Systems Футболка белая Oversize Logo blue M/L</t>
  </si>
  <si>
    <t>SS227</t>
  </si>
  <si>
    <t>Shine Systems Футболка белая Oversize Logo black L/XL</t>
  </si>
  <si>
    <t>SS245</t>
  </si>
  <si>
    <t>Shine Systems Футболка белая Oversize Logo black M/L</t>
  </si>
  <si>
    <t>SS224</t>
  </si>
  <si>
    <t>Shine Systems Футболка белая Oversize Logo blue L/XL</t>
  </si>
  <si>
    <t>SS226</t>
  </si>
  <si>
    <t>Shine Systems Футболка белая Oversize Logo black XL/XXL</t>
  </si>
  <si>
    <t>SS473</t>
  </si>
  <si>
    <t>Shine Systems АВД RR 1520N</t>
  </si>
  <si>
    <t>Магнитная микрофибра AntiDrip Magnet Towel 5*25см, 2шт SS314</t>
  </si>
  <si>
    <t>SS314</t>
  </si>
  <si>
    <t>Отрывные микрофибры в рулоне Fiber Roll Towel 20 шт SS770</t>
  </si>
  <si>
    <t>SS770</t>
  </si>
  <si>
    <t>Микрофибра с двойным плетением Perl Towel 40*40см 3 шт SS310</t>
  </si>
  <si>
    <t>Лосьон для кожаных покрытий LeatherLotion, 750 мл SS824</t>
  </si>
  <si>
    <t>SS824</t>
  </si>
  <si>
    <t>Очиститель ковров и напольных покрытий CarpetCleaner SS743</t>
  </si>
  <si>
    <t>Очиститель двигателя и агрегатов EngineWash, 900 мл SS722</t>
  </si>
  <si>
    <t>Аппликатор для чернения резины/пластика TireApplicator SS811</t>
  </si>
  <si>
    <t>Деликатный очиститель кожи LeatherCleaner, 5 л SS832</t>
  </si>
  <si>
    <t>Автошампунь для ручной мойки CherryBomb Shampoo 750 мл SS958</t>
  </si>
  <si>
    <t>Набор влажных салфеток для чистки кожи LeatherWipe, 10 шт SS714</t>
  </si>
  <si>
    <t>SS714</t>
  </si>
  <si>
    <t>Щетка из натурального ворса Mini Brush SS717</t>
  </si>
  <si>
    <t>Щетка для чистки кожи LeatherBrush SS783</t>
  </si>
  <si>
    <t>Искусственная замша для сушки авто Chamois SS814</t>
  </si>
  <si>
    <t>Ультрамягкая кисть для детейлинга, Ultra Soft Brush SS737</t>
  </si>
  <si>
    <t>Активный бесконтактный шампунь MultiTec, 900 мл SS928</t>
  </si>
  <si>
    <t>SS928</t>
  </si>
  <si>
    <t>Щетка для чистки интерьера Interior Brush SS844</t>
  </si>
  <si>
    <t>Ведро для мойки 20 л BucketSet с крышкой и сепаратором SS641</t>
  </si>
  <si>
    <t>Распрыскиватель дисперсия набор 3 шт Standart Trigger SS626</t>
  </si>
  <si>
    <t>Распрыскиватель пенный (набор 3 шт) Foam Trigger SS625</t>
  </si>
  <si>
    <t>SS625</t>
  </si>
  <si>
    <t>Быстрое супергидрофобное покрытие FastQuartz, 5 л SS646</t>
  </si>
  <si>
    <t>Аппликатор поролоновый для составов Wax Pad 10x2см SS818</t>
  </si>
  <si>
    <t>Полировальная мини машинка (iBrid) NanoPolisher SS529</t>
  </si>
  <si>
    <t>Гибкий вал для полировки DetailPolisher, набор в сумке SS528</t>
  </si>
  <si>
    <t>Набор мини-падов для гибкого вала DetailPolisherPadSet SS617</t>
  </si>
  <si>
    <t>Высокоэффективный пятновыводитель CitrusCleaner 750 мл SS919</t>
  </si>
  <si>
    <t>Микрофибра без оверлока коротковорсная SS569</t>
  </si>
  <si>
    <t>SS569</t>
  </si>
  <si>
    <t>Щетка для труднодоступных мест Bamboo Brush SS571</t>
  </si>
  <si>
    <t>Губка для чернения резины и пластика Sponge Brush SS573</t>
  </si>
  <si>
    <t>SS573</t>
  </si>
  <si>
    <t>Керамическое покрытие для пленок (набор) PPF Protect SS480</t>
  </si>
  <si>
    <t>Универсальный очиститель QuickDetailer Banana, 750 мл SS460</t>
  </si>
  <si>
    <t>Сепаратор для ведра (пескоотделитель) Sand Filter SS670</t>
  </si>
  <si>
    <t>SS670</t>
  </si>
  <si>
    <t>Плюшевая микрофибра 40*40см, 500 гр/м2 Plush Towel SS909</t>
  </si>
  <si>
    <t>Очиститель дорожного реагента ReagentOFF 5 л SS525</t>
  </si>
  <si>
    <t>Турбосушка 2 турбины 3000Вт Turbo Car Dryer DBL SS609</t>
  </si>
  <si>
    <t>Озоногенератор 10 гр/ч Shine Systems OZON-10000 SS954</t>
  </si>
  <si>
    <t>SS954</t>
  </si>
  <si>
    <t>Готовый ручной автошампунь Black Line ReadyShampoo SSBL958</t>
  </si>
  <si>
    <t>SSBL958</t>
  </si>
  <si>
    <t>Универсальный очиститель QuickDetailer Fresh 200 мл SS294</t>
  </si>
  <si>
    <t>SS294</t>
  </si>
  <si>
    <t>Усилитель адгезии для пленок PPF PRIMER 50 мл SS672</t>
  </si>
  <si>
    <t>SS672</t>
  </si>
  <si>
    <t>Деликатный бесконтактный шампунь GentleWash 5 л SSBL992</t>
  </si>
  <si>
    <t>Крышка с ободом для ведра (на резьбе) Bucket Lid SS669</t>
  </si>
  <si>
    <t>SS669</t>
  </si>
  <si>
    <t>Перчатки ультрапрочные нитриловые оранжевые, 100 шт (50 пар) SS416</t>
  </si>
  <si>
    <t>Очиститель дисков Black Line IronOFF Pro, 5 л SSBL990</t>
  </si>
  <si>
    <t>Ведро для мойки автомобиля без сепаратора и крышки 20л SS671</t>
  </si>
  <si>
    <t>Коврики для авто (бумажные, 2 слоя) 50х38см, 500 шт SS452</t>
  </si>
  <si>
    <t>Шланг для турбосушки Turbo Car Dryer HoseL, 5 м SS510</t>
  </si>
  <si>
    <t>Набор флаконов 200 мл распрыскиватель (дисперсия) 3 шт SS219</t>
  </si>
  <si>
    <t>SS219</t>
  </si>
  <si>
    <t>Флакон 200 мл с распрыскивателем (дисперсия) SS222</t>
  </si>
  <si>
    <t>SS222</t>
  </si>
  <si>
    <t>Полировальный круг из меха Yellow Wool Pad 130 мм SS265</t>
  </si>
  <si>
    <t>Полироль для пластика матовый VinylMatt Cherry 200 мл SS864</t>
  </si>
  <si>
    <t>SS864</t>
  </si>
  <si>
    <t>Чехлы для колес авто (диаметр 70 см), 4 шт SS299</t>
  </si>
  <si>
    <t>Ключ для крышки канистры 5, 20, 60л SS278</t>
  </si>
  <si>
    <t>Очиститель битума и дорожных реагентов BitumFree SS797</t>
  </si>
  <si>
    <t>SS797</t>
  </si>
  <si>
    <t>Очиститель битума и дорожных реагентов BitumFree 5 л SS795</t>
  </si>
  <si>
    <t>SS795</t>
  </si>
  <si>
    <t>Варежка-аппликатор из шерсти Soft Wool Mitt SS710</t>
  </si>
  <si>
    <t>Аккумуляторная полировальная машинка Miсro Polisher SS229</t>
  </si>
  <si>
    <t>Подставка под ведро на колесиках Bucket Wheel Base SS596</t>
  </si>
  <si>
    <t>Деликатный очиститель двигателя BlackLine MotorFresh SSBL957</t>
  </si>
  <si>
    <t>Кислотный ополаскиватель AlkaliOFF, 750 мл SS808</t>
  </si>
  <si>
    <t>Ролики для шланга под колёса Wheel Slide Rollers, 2 шт SS481</t>
  </si>
  <si>
    <t>Шампунь для бесконтактной мойки ActiveBase 900 мл SS1022</t>
  </si>
  <si>
    <t>Органайзер для ведра Bucket Organizer SS352</t>
  </si>
  <si>
    <t>Вельветовая микрофибра без оверлока Velvet Towel SS972</t>
  </si>
  <si>
    <t>SS972</t>
  </si>
  <si>
    <t>Вафельная микрофибра Waffle Towel, 40*40см SS288</t>
  </si>
  <si>
    <t>SS288</t>
  </si>
  <si>
    <t>Гидрофобный квик детейлер BlackLine QuickDrop 400 мл SSBL960</t>
  </si>
  <si>
    <t>SSBL960</t>
  </si>
  <si>
    <t>Универсальный очиститель QuickDetailer Banana 200 мл SS787</t>
  </si>
  <si>
    <t>Пенный очиститель салона авто AirLine FoamDetailer SS774</t>
  </si>
  <si>
    <t>Большая кисть для салона автомобиля Bigbro Brush SS162</t>
  </si>
  <si>
    <t>Микроабразивная режущая паста SmatCut, 200 мл SS899</t>
  </si>
  <si>
    <t>Микроабразивная режущая паста SmatCut, 750 мл SS519</t>
  </si>
  <si>
    <t>Универсальная микрофибра для салона Interior Towel SS370</t>
  </si>
  <si>
    <t>Очиститель дисков с индикатором WheelCleanton 400 мл SSBL951</t>
  </si>
  <si>
    <t>SSBL951</t>
  </si>
  <si>
    <t>Очиститель древесных смол AirLine ResinCleaner, 400 мл SS749</t>
  </si>
  <si>
    <t>Губка для мойки автомобиля (дисков) 200*120*50мм SS736</t>
  </si>
  <si>
    <t>Готовый бесконтактный шампунь Black Line ReadyFoam SSBL959</t>
  </si>
  <si>
    <t>Мультифункциональный фонарь Multifunctional Light SS966</t>
  </si>
  <si>
    <t>Профессиональный фонарь Inspection Light Pro SS969</t>
  </si>
  <si>
    <t>Налобный фонарь для общих работ Headlight SS987</t>
  </si>
  <si>
    <t>Компактный инспекционный фонарь Inspection Light Slim SS747</t>
  </si>
  <si>
    <t>Налобный фонарь профессиональный Headlight Pro SS696</t>
  </si>
  <si>
    <t>Варежка-скраб для химчистки ScrabMitt SS778</t>
  </si>
  <si>
    <t>Поролоновая палочка для детейлинга SwabFoamSquare 50шт SS792</t>
  </si>
  <si>
    <t>Набор палочек для детейлинга Swab Microfiber Set 10 шт SS160</t>
  </si>
  <si>
    <t>SS160</t>
  </si>
  <si>
    <t>Палочка микрофибровая Swab Microfiber Square, 50шт. SS766</t>
  </si>
  <si>
    <t>Шампунь для бесконтактной мойки ActiveBase, 20 кг SS755</t>
  </si>
  <si>
    <t>Шампунь для бесконтактной мойки ActiveGel, 20 кг SS639</t>
  </si>
  <si>
    <t>Шампунь для деликатной мойки авто Delicate Wash 20 кг SS645</t>
  </si>
  <si>
    <t>Активный шампунь для бесконтактной мойки EuroWash 20кг SS938</t>
  </si>
  <si>
    <t>Активный шампунь для бесконтактной мойки Light 20 кг SS930</t>
  </si>
  <si>
    <t>Активная пена для автоматических моек PortalWash 20 кг SS896</t>
  </si>
  <si>
    <t>Активный шампунь для плёнок PPF PreWash 750 мл SS893</t>
  </si>
  <si>
    <t>Активный шампунь для виниловых плёнок PPF PreWash 5 л SS968</t>
  </si>
  <si>
    <t>Шампунь для бесконтактной мойки SuperStar, 20 кг SS637</t>
  </si>
  <si>
    <t>Кислотный шампунь для ручной мойки AcidShampoo, 20 л SS406</t>
  </si>
  <si>
    <t>Шампунь для ручной мойки авто CationicShampoo 200 мл SS856</t>
  </si>
  <si>
    <t>Шампунь для ручной мойки авто CationicShampoo 20 кг SS631</t>
  </si>
  <si>
    <t>Ручной автошампунь гидрофобный LollipopShampoo, 20 л SS718</t>
  </si>
  <si>
    <t>Воск для автоматических и ручных моек UniversalWax 20л SS437</t>
  </si>
  <si>
    <t>SS437</t>
  </si>
  <si>
    <t>Бескислотный очиститель дисков IronOFF, 20 л SS781</t>
  </si>
  <si>
    <t>Ручной автошампунь для плёнок PPF Shampoo, 750 мл SS678</t>
  </si>
  <si>
    <t>Ручной автошампунь для виниловых плёнок PPF Shampoo 5л SS892</t>
  </si>
  <si>
    <t>Пенный воск для сушки и защиты кузова BubbleWax 750 мл SS454</t>
  </si>
  <si>
    <t>Гель-диэлектрик для мойки двигателя MotorCleaner 20 л SS804</t>
  </si>
  <si>
    <t>Очиститель следов насекомых MosquitOFFConcentrate 20кг SS445</t>
  </si>
  <si>
    <t>Пенный воск для сушки и защиты кузова BubbleWax 20 л SS456</t>
  </si>
  <si>
    <t>Cредство для химчистки InteriorCleaner 200 мл SS857</t>
  </si>
  <si>
    <t>Очиститель-кондиционер для химчистки SoftCleaner 200мл SS859</t>
  </si>
  <si>
    <t>SS859</t>
  </si>
  <si>
    <t>Универсальная губка для салона авто 200*120*50мм SS692</t>
  </si>
  <si>
    <t>Мягкая щетка ерш для шуруповерта Drill Soft Brush SS161</t>
  </si>
  <si>
    <t>Флакон 200 мл с кнопочным распылителем SS822</t>
  </si>
  <si>
    <t>SS822</t>
  </si>
  <si>
    <t>Набор флаконов 200 мл с кнопочным распылителем, 3 шт SS1016</t>
  </si>
  <si>
    <t>SS1016</t>
  </si>
  <si>
    <t>Ручной автошампунь гидрофобный LollipopShampoo, 200 мл SS664</t>
  </si>
  <si>
    <t>Влажная салфетка для чистки кожи LeatherWipe, 1 шт SS750</t>
  </si>
  <si>
    <t>Микрофибра-скраб для химчистки Scrab Towel 40*40см SS485</t>
  </si>
  <si>
    <t>Набор для ухода за интерьером BL InteriorCare Kit SSBL962</t>
  </si>
  <si>
    <t>SSBL962</t>
  </si>
  <si>
    <t>Быстрое супергидрофобное покрытие FastQuartz 200 мл SS694</t>
  </si>
  <si>
    <t>SS694</t>
  </si>
  <si>
    <t>Преобразователь ржавчины с цинком RustOff 750 мл SS701</t>
  </si>
  <si>
    <t>SS701</t>
  </si>
  <si>
    <t>Силиконовая смазка AirLine SiliconeSpray 400мл SS518</t>
  </si>
  <si>
    <t>Пенный воск для сушки и защиты кузова BubbleWax 5 л SS455</t>
  </si>
  <si>
    <t>SS455</t>
  </si>
  <si>
    <t>Терпеновый очиститель резины RubbyWheelliams, 400 мл SSBL954</t>
  </si>
  <si>
    <t>SSBL954</t>
  </si>
  <si>
    <t>Универсальный очиститель стекол GlassCleaner 200 мл SS303</t>
  </si>
  <si>
    <t>SS303</t>
  </si>
  <si>
    <t>Очиститель стекол без спирта GlossyGlass, 200 мл SS825</t>
  </si>
  <si>
    <t>SS825</t>
  </si>
  <si>
    <t>Распрыскиватель химически стойкий Alkali Trigger EPDM SS520</t>
  </si>
  <si>
    <t>Удлинители для роторных машинок Extension Rod Kit SS1001</t>
  </si>
  <si>
    <t>Наноконсервант для сушки кузова GlossProtection 200 мл SS693</t>
  </si>
  <si>
    <t>Автошампунь для ручной мойки OrangeBomb Shampoo 750 мл SS771</t>
  </si>
  <si>
    <t>Автошампунь для ручной мойки DuchessBomb Shampoo 750мл SS883</t>
  </si>
  <si>
    <t>Губка крупноячеистая для мойки кузова Black Sponge SS691</t>
  </si>
  <si>
    <t>Автошампунь для ручной мойки OrangeBomb Shampoo 5 л SS959</t>
  </si>
  <si>
    <t>Автошампунь для ручной мойки OrangeBomb Shampoo 20 л SS772</t>
  </si>
  <si>
    <t>Автошампунь для ручной мойки DuchessBomb Shampoo 5 л SS780</t>
  </si>
  <si>
    <t>Автошампунь для ручной мойки DuchessBomb Shampoo 20 л SS228</t>
  </si>
  <si>
    <t>Консервант подкапотного пространства MotorLock 400мл SSBL952</t>
  </si>
  <si>
    <t>SSBL952</t>
  </si>
  <si>
    <t>Матовый полироль для пластика салона VinylMatt Berry SS984</t>
  </si>
  <si>
    <t>Очиститель ковра, напольных покрытий CarpetCleaner 20л SS735</t>
  </si>
  <si>
    <t>Инструмент для чистки полировальных кругов Pads Tool SS1000</t>
  </si>
  <si>
    <t>Щетка для чистки дисков MicroSoft Wheel Brush, 44 см SS687</t>
  </si>
  <si>
    <t>Гибкая щётка для дисков MicroSoft Wheel Brush Flex SS740</t>
  </si>
  <si>
    <t>Набор кистей для автомобиля Detail Brush Kit, 3 шт SS924</t>
  </si>
  <si>
    <t>SS924</t>
  </si>
  <si>
    <t>Плоская щётка для дисков MicroSoft Wheel Brush Slim SS782</t>
  </si>
  <si>
    <t>SS782</t>
  </si>
  <si>
    <t>Деликатная щетка с конским волосом Soft Touch Brush SS986</t>
  </si>
  <si>
    <t>SS986</t>
  </si>
  <si>
    <t>Кисть для ухода за резиной TireTouch SS163</t>
  </si>
  <si>
    <t>Помповый распылитель для авто AeroPump Solvent, 2л SS476</t>
  </si>
  <si>
    <t>SS476</t>
  </si>
  <si>
    <t>Помповый распылитель для авто AeroPump Alkaline, 2л SS697</t>
  </si>
  <si>
    <t>SS697</t>
  </si>
  <si>
    <t>Помповый распылитель для авто AeroPump Acid+Alco, 2л SS695</t>
  </si>
  <si>
    <t>SS695</t>
  </si>
  <si>
    <t>Очиститель водного камня для стекол GlassScrub, 200 мл SS709</t>
  </si>
  <si>
    <t>Shine Systems PreWash Active - активный шампунь для бесконтактной мойки, 60 кг</t>
  </si>
  <si>
    <t>SS760</t>
  </si>
  <si>
    <t>Shine Systems Light - активный шампунь для бесконтактной мойки, 60 кг</t>
  </si>
  <si>
    <t>SS929</t>
  </si>
  <si>
    <t>Shine Systems MultiWash - активный шампунь для бесконтактной мойки, 60 кг</t>
  </si>
  <si>
    <t>SS741</t>
  </si>
  <si>
    <t>Shine Systems EuroWash - активный шампунь для бесконтактной мойки, 60 кг</t>
  </si>
  <si>
    <t>SS936</t>
  </si>
  <si>
    <t>Shine Systems ActiveFoam - активная пена для бесконтактной мойки, 60 кг</t>
  </si>
  <si>
    <t>SS798</t>
  </si>
  <si>
    <t>Shine Systems SuperStar - активный шампунь для бесконтактной мойки, 60 кг</t>
  </si>
  <si>
    <t>SS923</t>
  </si>
  <si>
    <t>Shine Systems PinkFoam - активный шампунь для бесконтактной мойки, 60 кг</t>
  </si>
  <si>
    <t>SS726</t>
  </si>
  <si>
    <t>Shine Systems PreWash - активный шампунь для бесконтактной мойки, 60 кг</t>
  </si>
  <si>
    <t>SS898</t>
  </si>
  <si>
    <t>Shine Systems MultiTec - активный шампунь для бесконтактной мойки, 60 кг</t>
  </si>
  <si>
    <t>SS926</t>
  </si>
  <si>
    <t>Shine Systems ActiveBase - активный шампунь для бесконтактной мойки, 60 кг</t>
  </si>
  <si>
    <t>SS752</t>
  </si>
  <si>
    <t>Shine Systems Dosatron - активный шампунь для бесконтактной мойки, 60 кг</t>
  </si>
  <si>
    <t>SS769</t>
  </si>
  <si>
    <t>Актуальные остатки 29.06</t>
  </si>
  <si>
    <t>Shine Systems Black Line GentleWash - деликатный шампунь для бесконтактной мойки, 750 мл</t>
  </si>
  <si>
    <t>Shine Systems Tire&amp;Wheel Cleaner - очиститель резины и колес, 5 л</t>
  </si>
  <si>
    <t>Shine Systems PreWash Active - активный шампунь для бесконтактной мойки, 20 кг</t>
  </si>
  <si>
    <t>Shine Systems GlossyGlass - экспресс очиститель стекол, 5 л</t>
  </si>
  <si>
    <t>Shine Systems BubbleWax - профессиональный пенный воск для сушки и защиты кузова с эффектом кавитации, 5 л</t>
  </si>
  <si>
    <t>Shine Systems WaterSpotOFF - очиститель водного камня, 750 мл</t>
  </si>
  <si>
    <t>Shine Systems SoftCleaner - нейтральное средство для химчистки с кондиционером, 5 л</t>
  </si>
  <si>
    <t>Shine Systems SoftCleaner - нейтральное средство для химчистки с кондиционером, 750 мл</t>
  </si>
  <si>
    <t>Shine Systems Black Line CrystalGlass - летняя стеклоомывающая жидкость, 200 мл</t>
  </si>
  <si>
    <t>Shine Systems BlackStar Matt - матовый полироль для резины, 750 мл</t>
  </si>
  <si>
    <t>Shine Systems BlackStar - чернитель резины, 750 мл</t>
  </si>
  <si>
    <t>Shine Systems Black Line TireEssence Gel - гелевое чернение шин, 400 мл</t>
  </si>
  <si>
    <t>Shine Systems LeatherCleaner - деликатный очиститель кожи, 750 мл</t>
  </si>
  <si>
    <t>Shine Systems PowerCut - крупноабразивная полировальная паста, 750 мл</t>
  </si>
  <si>
    <t>Shine Systems BlackStar Matt - матовый полироль для резины, 5 л</t>
  </si>
  <si>
    <t>Shine Systems BlackStar - чернитель резины, 5 л</t>
  </si>
  <si>
    <t>Shine Systems QuickDetailer Banana - спрей-очиститель для быстрого ухода, 5 л</t>
  </si>
  <si>
    <t>Shine Systems CarWash Kit - набор для двухфазной мойки</t>
  </si>
  <si>
    <t>Shine Systems DA Foam Pad Green - полировальный круг экстра твердый зеленый, 130 мм</t>
  </si>
  <si>
    <t>Shine Systems DA Foam Pad Purple - полировальный круг твердый лиловый, 130 мм</t>
  </si>
  <si>
    <t>Shine Systems Hybrid Pad - гибридный полировальный круг, 130 мм</t>
  </si>
  <si>
    <t>Shine Systems RO Foam Pad Green - полировальный круг твердый зеленый, 130 мм</t>
  </si>
  <si>
    <t>Shine Systems DA Foam Pad Maroon - полировальный круг полутвердый бордовый, 130 мм</t>
  </si>
  <si>
    <t>Shine Systems Rim Sponge - губка для мойки дисков и порогов</t>
  </si>
  <si>
    <t>Shine Systems DA Foam Pad Purple - полировальный круг твердый лиловый, 155 мм</t>
  </si>
  <si>
    <t>Shine Systems Stripy Wool Pad - полировальный круг из стриженого меха, 75 мм</t>
  </si>
  <si>
    <t>Shine Systems Clay Pad - круг автоскраб, 150 мм</t>
  </si>
  <si>
    <t>Shine Systems Black Wool Pad - полировальный круг из черного меха, 75 мм</t>
  </si>
  <si>
    <t>Shine Systems AntiGraffiti - деликатный очиститель краски, клея, скотча, 750 мл</t>
  </si>
  <si>
    <t>Shine Systems Glue&amp;StainRemover - мощный очиститель от клея и краски, 750 мл</t>
  </si>
  <si>
    <t>Shine Systems LeatherLotion - экспресс-лосьон для кожаных покрытий, 750 мл</t>
  </si>
  <si>
    <t>Shine Systems AirLine AntiGlue - быстрый очиститель краски, клея, скотча, 400 мл</t>
  </si>
  <si>
    <t>SS763</t>
  </si>
  <si>
    <t>Shine Systems Стеллаж пластиковый</t>
  </si>
  <si>
    <t>Shine Systems AroMatt Creed - парфюм на водной основе, 200 мл</t>
  </si>
  <si>
    <t>SS371</t>
  </si>
  <si>
    <t>Колеса для пеногенератора 50 л</t>
  </si>
  <si>
    <t>SS708</t>
  </si>
  <si>
    <t>Shine Systems - Пеногенератор 35л</t>
  </si>
  <si>
    <t>SS707</t>
  </si>
  <si>
    <t>Shine Systems - Пеногенератор 50л</t>
  </si>
  <si>
    <t>Shine Systems QuickDetailer Fresh - спрей-очиститель для быстрого ухода, 200 мл</t>
  </si>
  <si>
    <t>Shine Systems GlassCleaner - универсальный очиститель стекол, 200 мл</t>
  </si>
  <si>
    <t>Shine Systems LollipopShampoo - ручной автошампунь с эффектом леденца, 750 мл</t>
  </si>
  <si>
    <t>Shine Systems Black Line InteriorDetailer Macadamia - средство для ухода за интерьером, 400 мл</t>
  </si>
  <si>
    <t>Shine Systems Black Line PlasticMatt Invictus - матовый полироль для пластика и винила салона, 400 мл</t>
  </si>
  <si>
    <t>Shine Systems IronOFF - бескислотный очиститель дисков с индикатором, 5 л</t>
  </si>
  <si>
    <t>Shine Systems ActiveBase - активный шампунь для бесконтактной мойки, 5 л</t>
  </si>
  <si>
    <t>Shine Systems LollipopShampoo - ручной автошампунь с эффектом леденца, 5 л</t>
  </si>
  <si>
    <t>Shine Systems TOP Coat - гидрофобное керамическое покрытие для кузова, 30 мл (набор)</t>
  </si>
  <si>
    <t>Shine Systems Solvent Trigger (NBR) - профессиональный распрыскиватель для сольвентов и слабощелочных (3-9pH) составов</t>
  </si>
  <si>
    <t>Shine Systems SoftCleaner - нейтральное средство для химчистки с кондиционером, 200 мл</t>
  </si>
  <si>
    <t>Shine Systems RustOFF - преобразователь ржавчины с цинком, 750 мл</t>
  </si>
  <si>
    <t>Shine Systems Black Line ReadyShampoo - готовый ручной автошампунь с гидрофобным эффектом, 5 л</t>
  </si>
  <si>
    <t>SS236</t>
  </si>
  <si>
    <t>Shine Systems Худи "Selfie" тёмно-синяя (вышивка) - М</t>
  </si>
  <si>
    <t>SS570</t>
  </si>
  <si>
    <t>SS516</t>
  </si>
  <si>
    <t>SS200</t>
  </si>
  <si>
    <t>Shine Systems BitumOFF - терпеновый антибитум, 750 мл</t>
  </si>
  <si>
    <t>Shine Systems Black Line PlasticMatt Lacost - матовый полироль для пластика и винила салона, 400 мл</t>
  </si>
  <si>
    <t>Shine Systems CitrusCleaner - апельсиновый очиститель, 750 мл</t>
  </si>
  <si>
    <t>Shine Systems Black Line QuickDrop - гидрофобный квик-детейлер для экстерьера, 400 мл</t>
  </si>
  <si>
    <t>Shine Systems Waffle Towel - вафельная микрофибра, 40*40см</t>
  </si>
  <si>
    <t>Shine Systems Velvet Towel - вельветовая микрофибра без оверлока, 40*40см</t>
  </si>
  <si>
    <t>Shine Systems AntiDrip Magnet Towel - магнитная микрофибра "Антиподтёк" 5*25см, 2 шт</t>
  </si>
  <si>
    <t>SS846</t>
  </si>
  <si>
    <t>Shine Systems Detailing Brush N10 - деликатная кисть для детейлинга средняя</t>
  </si>
  <si>
    <t>Shine Systems Super Dry Towel - супервпитывающая микрофибра для сушки кузова 50*60см, 800 гр/м2</t>
  </si>
  <si>
    <t>Крышка твист топ (пуш-пулл винтовой) 24</t>
  </si>
  <si>
    <t>Shine Systems Edgeless Towel Gray - универсальная микрофибра без оверлока 40*40см, 400гр/м2, серая</t>
  </si>
  <si>
    <t>Shine Systems Foam Trigger - распрыскиватель пенный</t>
  </si>
  <si>
    <t>Shine Systems AirLine SiliconeSpray - универсальная силиконовая смазка, 400 мл</t>
  </si>
  <si>
    <t>Shine Systems AirLine TirePolish - чернение внешнего пластика и резины, 400 мл</t>
  </si>
  <si>
    <t>Shine Systems Uni Dry Towel - универсальная супервпитывающая микрофибра 40*40см, 500гр/м2</t>
  </si>
  <si>
    <t>SS295</t>
  </si>
  <si>
    <t>Shine Systems Masking Tape - малярная лента синяя 18мм*50м</t>
  </si>
  <si>
    <t>Shine Systems Coating Suede - замша для нанесения керамики 10*10см, 10 шт</t>
  </si>
  <si>
    <t>SS342</t>
  </si>
  <si>
    <t>Shine Systems Masking Tape - малярная лента зеленая 18мм*50м</t>
  </si>
  <si>
    <t>SS305</t>
  </si>
  <si>
    <t>Shine Systems Masking Tape - малярная лента красная 18мм*50м</t>
  </si>
  <si>
    <t>Shine Systems Edgeless Towel Blue - универсальная микрофибра без оверлока 40*40см, 400гр/м2, голубая</t>
  </si>
  <si>
    <t>Shine Systems InsectOFF - очиститель следов насекомых, 750 мл</t>
  </si>
  <si>
    <t>Shine Systems Chenille Wash Mitt - шенилловая рукавица для мойки кузова</t>
  </si>
  <si>
    <t>SS317</t>
  </si>
  <si>
    <t>Shine Systems Masking Tape - малярная лента красная 25мм*50м</t>
  </si>
  <si>
    <t>SS183</t>
  </si>
  <si>
    <t>Shine Systems Masking Tape - малярная лента синяя 25мм*50м</t>
  </si>
  <si>
    <t>Shine Systems MicroSoft Wheel Brush Flex - гибкая микрофибровая щётка для чистки дисков, 44 см</t>
  </si>
  <si>
    <t>Shine Systems Black Line ZhukOFF - терпеновый очиститель следов насекомых, 400 мл</t>
  </si>
  <si>
    <t>SS349</t>
  </si>
  <si>
    <t>Shine Systems Masking Tape - малярная лента зеленая 25мм*50м</t>
  </si>
  <si>
    <t>Shine Systems Interior Towel - универсальная микрофибра для салона 40*40см, 400 гр/м2</t>
  </si>
  <si>
    <t>Shine Systems Tire&amp;Wheel Cleaner - очиститель резины и колес, 900 мл</t>
  </si>
  <si>
    <t>Shine Systems MotorCare - консервант подкапотного пространства, 750 мл</t>
  </si>
  <si>
    <t>Shine Systems OrangeBomb - автошампунь для ручной мойки, 750 мл</t>
  </si>
  <si>
    <t>Shine Systems Microfiber Sponge - микрофибровый аппликатор для нанесения составов</t>
  </si>
  <si>
    <t>Shine Systems Black Line InteriorDetailer Bergamot - средство для ухода за интерьером, 400 мл</t>
  </si>
  <si>
    <t>Shine Systems PPF PreWash - активный шампунь для виниловых и полиуретановых плёнок, 750 мл</t>
  </si>
  <si>
    <t>Shine Systems VinylMatt Cherry - матовый полироль для пластика салона, 200 мл</t>
  </si>
  <si>
    <t>Коробка ShineSystems 38см*14,5см*25см (Т-23) 5л, 0,9л, 0,75 пуш-пулл</t>
  </si>
  <si>
    <t>Shine Systems Detail Brush Kit - набор профессиональных кистей для автомобиля, 3 шт</t>
  </si>
  <si>
    <t>Shine Systems MicroSoft Wheel Brush - микрофибровая щетка для чистки дисков, 44 см</t>
  </si>
  <si>
    <t>Shine Systems DuchessBomb - автошампунь для ручной мойки, 750 мл</t>
  </si>
  <si>
    <t>Shine Systems Fiber Roll Towel - отрывные микрофибры в рулоне 30*30см, 20шт</t>
  </si>
  <si>
    <t>Shine Systems Black Line Casper - квик-детейлер для быстрого ухода без запаха, 400 мл</t>
  </si>
  <si>
    <t>Shine Systems Black Line MotorLock - консервант подкапотного пространства, 400 мл</t>
  </si>
  <si>
    <t>Shine Systems Black Line RubbyWheelliams - терпеновый очиститель резины, 400 мл</t>
  </si>
  <si>
    <t>Shine Systems Black Line MotorFresh - деликатный очиститель двигателя, 400 мл</t>
  </si>
  <si>
    <t>Shine Systems Black Line WheelCleanton - деликатный очиститель дисков с индикатором, 400 мл</t>
  </si>
  <si>
    <t>SSBL991</t>
  </si>
  <si>
    <t>Shine Systems Black Line IronOFF Pro - нейтральный очиститель дисков с индикатором, 400 мл</t>
  </si>
  <si>
    <t>Shine Systems Металлический держатель для кистей и триггеров, 450 мм</t>
  </si>
  <si>
    <t>Shine Systems Металлический держатель для бутылок,530 мм</t>
  </si>
  <si>
    <t>Shine Systems AcidShampoo - кислотный шампунь для ручной мойки, 750 мл</t>
  </si>
  <si>
    <t>Shine Systems Swab Microfiber Set- набор палочек для детейлинга, 10шт</t>
  </si>
  <si>
    <t>Shine Systems Black Line TarOFF - профессиональный очиститель битумных пятен, 400 мл</t>
  </si>
  <si>
    <t>Shine Systems PPF Shampoo - ручной автошампунь для виниловых и полиуретановых плёнок, 750 мл</t>
  </si>
  <si>
    <t>Shine Systems Soft Touch Brush - деликатная щетка с конским волосом</t>
  </si>
  <si>
    <t>Shine Systems ActiveBase - активный шампунь для бесконтактной мойки, 20 кг</t>
  </si>
  <si>
    <t>Shine Systems Ракель универсальный 10*7,2см, белый</t>
  </si>
  <si>
    <t>SS347</t>
  </si>
  <si>
    <t>Shine Systems Выгонка синяя с оранжевым фетром 10*7,2см</t>
  </si>
  <si>
    <t>Shine Systems Ракель универсальный 10*7,2см, голубой</t>
  </si>
  <si>
    <t>SS1018</t>
  </si>
  <si>
    <t>Shine Systems Rubby Brush - щетка для чистки покрышек</t>
  </si>
  <si>
    <t>SS249</t>
  </si>
  <si>
    <t>Shine Systems PlastiDeep - чернитель внешнего пластика, 750 мл</t>
  </si>
  <si>
    <t>Shine Systems Ракель синий жесткий с фетровой накладкой 12,6*8см</t>
  </si>
  <si>
    <t>Стрейч-пленка</t>
  </si>
  <si>
    <t>Shine Systems UniversalWax - воск для автоматических и ручных моек, 20 л</t>
  </si>
  <si>
    <t>Shine Systems UniversalWax - воск для автоматических и ручных моек, 5 л</t>
  </si>
  <si>
    <t>Shine Systems FastPolish - среднеабразивная полировальная паста, 750 мл</t>
  </si>
  <si>
    <t>SS361</t>
  </si>
  <si>
    <t>Shine Systems Черная выгонка с фетром 10*7,2см</t>
  </si>
  <si>
    <t>Shine Systems MotorCare - консервант подкапотного пространства, 5 л</t>
  </si>
  <si>
    <t>SS392</t>
  </si>
  <si>
    <t>Shine Systems Ракель красный PPF твердость 80А,12x7,5см</t>
  </si>
  <si>
    <t>Shine Systems Флакон 200 мл с распылителем</t>
  </si>
  <si>
    <t>Shine Systems MicroSoft Wheel Brush Slim - плоская микрофибровая щётка чистки дисков, 50 см</t>
  </si>
  <si>
    <t>SS144</t>
  </si>
  <si>
    <t>Shine Systems Ракель для монтажа мягкий 10*2 см</t>
  </si>
  <si>
    <t>SS143</t>
  </si>
  <si>
    <t>Shine Systems Ракель для монтажа средней жесткости 10*2см</t>
  </si>
  <si>
    <t>SS380</t>
  </si>
  <si>
    <t>Shine Systems Ракель черный PPF твердость 90А,12x7,5 см</t>
  </si>
  <si>
    <t>Shine Systems Ракель Tiffany бирюзовый PPF 70А 12*7,5см</t>
  </si>
  <si>
    <t>Shine Systems PreWash - активный шампунь для бесконтактной мойки, 900 мл</t>
  </si>
  <si>
    <t>SS145</t>
  </si>
  <si>
    <t>Shine Systems Ракель для монтажа жесткий 10*2см</t>
  </si>
  <si>
    <t>Shine Systems AlkaliOFF - кислотный ополаскиватель-нейтрализатор щелочи, 750 мл</t>
  </si>
  <si>
    <t>Shine Systems OrangeBomb - автошампунь для ручной мойки, 5 л</t>
  </si>
  <si>
    <t>Shine Systems IPA PPF - спиртовой обезжириватель, 5 л</t>
  </si>
  <si>
    <t>Shine Systems PPF PreWash - активный шампунь для виниловых и полиуретановых плёнок, 5 л</t>
  </si>
  <si>
    <t>SS344</t>
  </si>
  <si>
    <t>Shine Systems Выгонка синяя с черной микрофиброй 10*7,2см</t>
  </si>
  <si>
    <t>Shine Systems PPF Shampoo - ручной автошампунь для виниловых и полиуретановых плёнок, 5 л</t>
  </si>
  <si>
    <t>Shine Systems Ракель-трапеция мягкий 11*8см, красный</t>
  </si>
  <si>
    <t>SS040</t>
  </si>
  <si>
    <t>Shine Systems Ракель трехслойный комбинированный PPF 1 2,5*8см</t>
  </si>
  <si>
    <t>SS178</t>
  </si>
  <si>
    <t>Shine Systems Ракель для магнитной рукоятки 80А 12,5*5см</t>
  </si>
  <si>
    <t>SS125</t>
  </si>
  <si>
    <t>Shine Systems Ракель твердостью 70A 7,2см</t>
  </si>
  <si>
    <t>SS174</t>
  </si>
  <si>
    <t>Shine Systems Ракель угловой красный 9*8,5см</t>
  </si>
  <si>
    <t>SS147</t>
  </si>
  <si>
    <t>Shine Systems Треугольный ракель жесткий 7*5см</t>
  </si>
  <si>
    <t>SS080</t>
  </si>
  <si>
    <t>Shine Systems Ракель Blue Max с длинной ручкой 20*13см</t>
  </si>
  <si>
    <t>SS334</t>
  </si>
  <si>
    <t>Shine Systems Ракель красный PPF Т-образной формы, твердость 80А, 10х7,5см</t>
  </si>
  <si>
    <t>SS149</t>
  </si>
  <si>
    <t>Shine Systems Треугольный ракель мягкий 7*5см</t>
  </si>
  <si>
    <t>Shine Systems Скребок с длинной ручкой со стальным сменным лезвием 1,5" (38*19мм)</t>
  </si>
  <si>
    <t>Shine Systems Ракель синий мягкий с фетровой накладкой 10*7,2см</t>
  </si>
  <si>
    <t>SS105</t>
  </si>
  <si>
    <t>Shine Systems Ракель Pro-Tint Bondo магнитный с оранжевой замшей 10*7,2см</t>
  </si>
  <si>
    <t>SS191</t>
  </si>
  <si>
    <t>Shine Systems Ракель черный твердостью 90А с ручкой 15*12см</t>
  </si>
  <si>
    <t>SS148</t>
  </si>
  <si>
    <t>Shine Systems Треугольный ракель средней жесткости 7*5см</t>
  </si>
  <si>
    <t>Shine Systems DuchessBomb - автошампунь для ручной мойки, 5 л</t>
  </si>
  <si>
    <t>SS025</t>
  </si>
  <si>
    <t>Shine Systems Ракель пластиковый выдерживает температуру до 350 ℃ 26*11см</t>
  </si>
  <si>
    <t>SS095</t>
  </si>
  <si>
    <t>Shine Systems Ракель резиновый с ручкой 18*12,5см</t>
  </si>
  <si>
    <t>Shine Systems Ракель универсальный 10*7,2см, синий (3М)</t>
  </si>
  <si>
    <t>SS108</t>
  </si>
  <si>
    <t>Shine Systems Ракель мягкий полукруглый 10*5см</t>
  </si>
  <si>
    <t>Shine Systems DuchessBomb - автошампунь для ручной мойки, 20 л</t>
  </si>
  <si>
    <t>SS331</t>
  </si>
  <si>
    <t>Shine Systems Ракель треугольный мини 7см</t>
  </si>
  <si>
    <t>Shine Systems Ракель для подворотов на 135 градусов</t>
  </si>
  <si>
    <t>SS103</t>
  </si>
  <si>
    <t>Shine Systems Ракель Pro-Tint Bondo с оранжевой замшей 10*7,2см</t>
  </si>
  <si>
    <t>Shine Systems OrangeBomb - автошампунь для ручной мойки, 20 л</t>
  </si>
  <si>
    <t>SS190</t>
  </si>
  <si>
    <t>Shine Systems Ракель розовый твердостью 80А с ручкой 15*12,5см</t>
  </si>
  <si>
    <t>SS177</t>
  </si>
  <si>
    <t>Shine Systems Ракель для магнитной рукоятки 70А</t>
  </si>
  <si>
    <t>SS189</t>
  </si>
  <si>
    <t>Shine Systems Ракель голубой твердостью 70А с ручкой 15*12,5см</t>
  </si>
  <si>
    <t>SS131</t>
  </si>
  <si>
    <t>Shine Systems Ракель 10,2*7,6 см жесткий</t>
  </si>
  <si>
    <t>SS036</t>
  </si>
  <si>
    <t>Shine Systems Ракель оранжевый PPF 90А 10*7,5см</t>
  </si>
  <si>
    <t>Shine Systems BitumFree - деликатный очиститель битумных пятен и дорожных реагентов, 750 мл</t>
  </si>
  <si>
    <t>SS127</t>
  </si>
  <si>
    <t>Shine Systems Ракель твердостью 90A 7,2 см</t>
  </si>
  <si>
    <t>Shine Systems Black Line SlideShampoo Banana - шампунь для ручной мойки автомобиля, 5 л</t>
  </si>
  <si>
    <t>SS181</t>
  </si>
  <si>
    <t>Shine Systems Магнитная рукоятка с ракелем 80А 12,5*10см</t>
  </si>
  <si>
    <t>Shine Systems Tool Cart - инструментальная тележка детейлера</t>
  </si>
  <si>
    <t>SS142</t>
  </si>
  <si>
    <t>Shine Systems Набор из 6 ракелей разной жесткости 15*2,5см</t>
  </si>
  <si>
    <t>Shine Systems HYBRID Coat - защитное гидрофобное покрытие для кузова, 30 мл (набор)</t>
  </si>
  <si>
    <t>Shine Systems BitumFree - деликатный очиститель битумных пятен и дорожных реагентов, 5 л</t>
  </si>
  <si>
    <t>Shine Systems NanoGlass - защитное нанопокрытие для стекол K1(200мл) + K2(200мл)</t>
  </si>
  <si>
    <t>SS104</t>
  </si>
  <si>
    <t>Shine Systems Ракель Pro-Tint Bondo 10*7,2см</t>
  </si>
  <si>
    <t>SS092</t>
  </si>
  <si>
    <t>Shine Systems Ракель резиновый треугольный</t>
  </si>
  <si>
    <t>Shine Systems CarpetCleaner - очиститель ковров и напольных покрытий, 20 кг</t>
  </si>
  <si>
    <t>Shine Systems Ракель мини розовый 7,5*5,5см</t>
  </si>
  <si>
    <t>Shine Systems Набор наклеек №7 - 10 шт</t>
  </si>
  <si>
    <t>Shine Systems Набор наклеек №1 - 10 шт</t>
  </si>
  <si>
    <t>Shine Systems Набор наклеек №2 - 10 шт</t>
  </si>
  <si>
    <t>Shine Systems Набор наклеек №3 - 10 шт</t>
  </si>
  <si>
    <t>SS260</t>
  </si>
  <si>
    <t>Shine Systems Костюм влагозащитный куртка+полукомбинезон (размер 48/50, на рост 182-188 см.)</t>
  </si>
  <si>
    <t>Shine Systems Набор наклеек №6 - 10 шт</t>
  </si>
  <si>
    <t>Shine Systems Набор наклеек №4 - 10 шт</t>
  </si>
  <si>
    <t>Shine Systems Набор наклеек №5 - 10 шт</t>
  </si>
  <si>
    <t>SS259</t>
  </si>
  <si>
    <t>Shine Systems Костюм влагозащитный куртка+полукомбинезон (размер 48/50, на рост 170-176 см.)</t>
  </si>
  <si>
    <t>Shine Systems Двусторонний мини-ракель твердость 70А, 90А 21,5*4,7см</t>
  </si>
  <si>
    <t>Shine Systems Soak Shield Thickest - Абсорбирующая верёвка из плетеной микрофибры 3м</t>
  </si>
  <si>
    <t>Shine Systems Набор ракелей с острыми углами PPF зеленого цвета 1 подарочная коробка</t>
  </si>
  <si>
    <t>SS1004</t>
  </si>
  <si>
    <t>Shine Systems Кепка черный козырек NEW (оранжевый лого)</t>
  </si>
  <si>
    <t>SS703</t>
  </si>
  <si>
    <t>Shine Systems Флаг фирменный с логотипом 100*150см (габардин)</t>
  </si>
  <si>
    <t>Shine Systems Black Line Siena - ароматизатор для авто и дома, 50 мл</t>
  </si>
  <si>
    <t>SS1002</t>
  </si>
  <si>
    <t>Shine Systems Кепка козырек с белой полосой (голубой лого)</t>
  </si>
  <si>
    <t>Shine Systems Foam Trigger - распрыскиватель пенный (набор 3 шт)</t>
  </si>
  <si>
    <t>Shine Systems Standart Trigger - распрыскиватель дисперсионный (набор 3 шт)</t>
  </si>
  <si>
    <t>SS411</t>
  </si>
  <si>
    <t>Shine Systems Wax Pad - аппликатор черный поролоновый круглый 10*2 см (3 шт)</t>
  </si>
  <si>
    <t>Shine Systems Флакон 200 мл с распрыскивателем (дисперсия), 3 шт</t>
  </si>
  <si>
    <t>Shine Systems Флакон 200 мл с распылителем, 3 шт</t>
  </si>
  <si>
    <t>SS488</t>
  </si>
  <si>
    <t>Shine Systems АВД RR 1520N Total-Stop</t>
  </si>
  <si>
    <t>SS515</t>
  </si>
  <si>
    <t>Shine Systems Рубашка (поло) унисекс черная - S</t>
  </si>
  <si>
    <t>Shine Systems AirLift X1500 - пневмоподъемник для автомобилей до 3 тн</t>
  </si>
  <si>
    <t>SS1012</t>
  </si>
  <si>
    <t>Shine Systems Detailing Brush - набор кистей для детейлинга, 3 шт</t>
  </si>
  <si>
    <t>SS661</t>
  </si>
  <si>
    <t>Shine Systems АВД RR 1525 H-N Total-Stop</t>
  </si>
  <si>
    <t>SS212</t>
  </si>
  <si>
    <t>Shine Systems Ракель с мягкой ручкой синий 15*12,5см</t>
  </si>
  <si>
    <t>Shine Systems AcidCleaner - универсальный кислотный очиститель, 5 л</t>
  </si>
  <si>
    <t>Shine Systems этикетка BlackStar 5 л</t>
  </si>
  <si>
    <t>Коробка Shine Systems CarWash (250х160х115 мм) для набора для двухфазной мойки</t>
  </si>
  <si>
    <t>Shine Systems ActiveBase - активный шампунь для бесконтактной мойки, 900 мл SS1022</t>
  </si>
  <si>
    <t>4673746976296</t>
  </si>
  <si>
    <t>250.00</t>
  </si>
  <si>
    <t>Штука</t>
  </si>
  <si>
    <t>Shine Systems SunnyFoam - жёлтая пена для бесконтактной мойки, 20 кг SS1026</t>
  </si>
  <si>
    <t>SS1026</t>
  </si>
  <si>
    <t>4610504431000</t>
  </si>
  <si>
    <t>5790.00</t>
  </si>
  <si>
    <t>295</t>
  </si>
  <si>
    <t>245</t>
  </si>
  <si>
    <t>20.8</t>
  </si>
  <si>
    <t>Shine Systems TropicBomb - автошампунь для ручной мойки, 750 мл SS1048</t>
  </si>
  <si>
    <t>SS1048</t>
  </si>
  <si>
    <t>4610504431161</t>
  </si>
  <si>
    <t>3402500000</t>
  </si>
  <si>
    <t>0.8</t>
  </si>
  <si>
    <t>Shine Systems GlassCleaner - универсальный очиститель стекол, 200 мл SS303</t>
  </si>
  <si>
    <t>4673746975015</t>
  </si>
  <si>
    <t>3814009000</t>
  </si>
  <si>
    <t>150.00</t>
  </si>
  <si>
    <t>0.3</t>
  </si>
  <si>
    <t>Shine Systems ReagentOFF - очиститель дорожного реагента, 20 л SS524</t>
  </si>
  <si>
    <t>SS524</t>
  </si>
  <si>
    <t>4673746971505</t>
  </si>
  <si>
    <t>9190.00</t>
  </si>
  <si>
    <t>365</t>
  </si>
  <si>
    <t>16.5</t>
  </si>
  <si>
    <t>Shine Systems AbrasivePrep + Glass Applicator - набор для чистки стекол SS579/SS590</t>
  </si>
  <si>
    <t>SS579/SS590</t>
  </si>
  <si>
    <t>2054609020578</t>
  </si>
  <si>
    <t>3405901090</t>
  </si>
  <si>
    <t>690.00</t>
  </si>
  <si>
    <t>0.35</t>
  </si>
  <si>
    <t>Средство с дезинфицирующим эффектом Shine Systems Antiseptic, 750 мл SS762</t>
  </si>
  <si>
    <t>SS762</t>
  </si>
  <si>
    <t>4673746970157</t>
  </si>
  <si>
    <t>0.85</t>
  </si>
  <si>
    <t>Shine Systems InteriorCleaner - универсальное средство для химчистки, 200 мл SS857</t>
  </si>
  <si>
    <t>4673746974032</t>
  </si>
  <si>
    <t>190.00</t>
  </si>
  <si>
    <t>0.22</t>
  </si>
  <si>
    <t>Shine Systems Black Line ZhukOFF - терпеновый очиститель следов насекомых, 400 мл SSBL948</t>
  </si>
  <si>
    <t>SSBL948</t>
  </si>
  <si>
    <t>4673746977316</t>
  </si>
  <si>
    <t>61</t>
  </si>
  <si>
    <t>219</t>
  </si>
  <si>
    <t>0.4</t>
  </si>
  <si>
    <t>Shine Systems Black Line Casper - квик-детейлер для быстрого ухода без запаха, 400 мл SSBL949</t>
  </si>
  <si>
    <t>SSBL949</t>
  </si>
  <si>
    <t>4673746977163</t>
  </si>
  <si>
    <t>290.00</t>
  </si>
  <si>
    <t>0.5</t>
  </si>
  <si>
    <t>Shine Systems Ракель оранжевый PPF 90А 10*7,5см SS036</t>
  </si>
  <si>
    <t>2046400851628</t>
  </si>
  <si>
    <t>3926909709</t>
  </si>
  <si>
    <t>500.00</t>
  </si>
  <si>
    <t>110</t>
  </si>
  <si>
    <t>0.2</t>
  </si>
  <si>
    <t>Shine Systems Ракель розовый овальный PPF 10*7,5см SS038</t>
  </si>
  <si>
    <t>2046400851093</t>
  </si>
  <si>
    <t>530.00</t>
  </si>
  <si>
    <t>Shine Systems Двусторонний мини-ракель заправочный жесткий 16,5*3см SS052</t>
  </si>
  <si>
    <t>SS052</t>
  </si>
  <si>
    <t>2046400850430</t>
  </si>
  <si>
    <t>390.00</t>
  </si>
  <si>
    <t>175</t>
  </si>
  <si>
    <t>Shine Systems Насадка на ракель из микротонкого фетра 2м SS067</t>
  </si>
  <si>
    <t>2046400853424</t>
  </si>
  <si>
    <t>Shine Systems Ракель резиновый 14,5*14см SS076</t>
  </si>
  <si>
    <t>SS076</t>
  </si>
  <si>
    <t>2046400848147</t>
  </si>
  <si>
    <t>430.00</t>
  </si>
  <si>
    <t>155</t>
  </si>
  <si>
    <t>Shine Systems Треугольный ракель жесткий 7*5см SS147</t>
  </si>
  <si>
    <t>4673746975725</t>
  </si>
  <si>
    <t>230.00</t>
  </si>
  <si>
    <t>55</t>
  </si>
  <si>
    <t>Shine Systems Ракель для магнитной рукоятки 80А 12,5*5см SS178</t>
  </si>
  <si>
    <t>2046400851925</t>
  </si>
  <si>
    <t>400.00</t>
  </si>
  <si>
    <t>135</t>
  </si>
  <si>
    <t>Shine Systems Ракель для магнитной рукоятки 90А 12,5*5см SS179</t>
  </si>
  <si>
    <t>2046400848598</t>
  </si>
  <si>
    <t>Shine Systems Ракель голубой твердостью 70А с ручкой 15*12,5см SS189</t>
  </si>
  <si>
    <t>2046400850584</t>
  </si>
  <si>
    <t>Shine Systems Ракель черный твердостью 90А с ручкой 15*12см SS191</t>
  </si>
  <si>
    <t>4673746975657</t>
  </si>
  <si>
    <t>660.00</t>
  </si>
  <si>
    <t>Shine Systems Ракель с мягкой ручкой синий 15*12,5см SS212</t>
  </si>
  <si>
    <t>4673746975640</t>
  </si>
  <si>
    <t>480.00</t>
  </si>
  <si>
    <t>Shine Systems Ракель черный PPF твердость 90А 10*7,5 см SS381</t>
  </si>
  <si>
    <t>2046400852946</t>
  </si>
  <si>
    <t>Shine Systems Ручка-держатель короткая для выгонок BlueMAX с ракелем  средней жесткости, 13см SS398</t>
  </si>
  <si>
    <t>SS398</t>
  </si>
  <si>
    <t>2048368917484</t>
  </si>
  <si>
    <t>820.00</t>
  </si>
  <si>
    <t>Shine Systems Ракель трехслойный резиновый большой PPF 10*7,6см SS399</t>
  </si>
  <si>
    <t>SS399</t>
  </si>
  <si>
    <t>2046400851307</t>
  </si>
  <si>
    <t>86</t>
  </si>
  <si>
    <t>Shine Systems Extension Rod Kit - Набор удлинителей для роторных полировальных машинок SS1001</t>
  </si>
  <si>
    <t>4673746974162</t>
  </si>
  <si>
    <t>1590.00</t>
  </si>
  <si>
    <t>Shine Systems Miсro Polisher - аккумуляторная полировальная машинка,набор в сумке SS229</t>
  </si>
  <si>
    <t>2000649193536</t>
  </si>
  <si>
    <t>8467292000</t>
  </si>
  <si>
    <t>17990.00</t>
  </si>
  <si>
    <t>360</t>
  </si>
  <si>
    <t>1.5</t>
  </si>
  <si>
    <t>Shine Systems Turbo Car Dryer Connector Seal - уплотнитель соединителя шланга для турбосушки SS246</t>
  </si>
  <si>
    <t>2000649189652</t>
  </si>
  <si>
    <t>0.1</t>
  </si>
  <si>
    <t>Shine Systems Turbo Car Dryer Switch - выключатель для турбосушки SS247</t>
  </si>
  <si>
    <t>2000649189560</t>
  </si>
  <si>
    <t>Shine Systems Turbo Car Dryer Power Knob - ручка регулятора мощности для турбосушки SS248</t>
  </si>
  <si>
    <t>SS248</t>
  </si>
  <si>
    <t>2000649189577</t>
  </si>
  <si>
    <t>Shine Systems Turbo Car Dryer Wide Nozzle - щелевая широкая насадка для для турбосушки SS250</t>
  </si>
  <si>
    <t>2000649189607</t>
  </si>
  <si>
    <t>0.06</t>
  </si>
  <si>
    <t>Shine Systems Turbo Car Dryer Hose Connector - соединитель шланга для турбосушки SS268</t>
  </si>
  <si>
    <t>2000649189591</t>
  </si>
  <si>
    <t>0.04</t>
  </si>
  <si>
    <t>Shine Systems Turbo Car Dryer Potentiometer - потенциометр для турбосушки SS269</t>
  </si>
  <si>
    <t>2000649189584</t>
  </si>
  <si>
    <t>0.05</t>
  </si>
  <si>
    <t>Shine Systems Turbo Car Dryer Round Nozzle - круглая насадка для турбосушки SS649</t>
  </si>
  <si>
    <t>4673746974124</t>
  </si>
  <si>
    <t>Shine Systems Флакон 200 мл с распылителем, 3 шт SS1016</t>
  </si>
  <si>
    <t>4673746977408</t>
  </si>
  <si>
    <t>8424200000</t>
  </si>
  <si>
    <t>Shine Systems Drill Soft Brush - мягкая щетка ерш для шуруповерта SS161</t>
  </si>
  <si>
    <t>4673746973882</t>
  </si>
  <si>
    <t>9603909900</t>
  </si>
  <si>
    <t>Shine Systems Флакон 200 мл с распрыскивателем дисперсионным 24/410 SS222</t>
  </si>
  <si>
    <t>2042665711172</t>
  </si>
  <si>
    <t>0.03</t>
  </si>
  <si>
    <t>Shine Systems Uni Dry Towel - универсальная супервпитывающая микрофибра 40*40см, 500гр/м2 SS289</t>
  </si>
  <si>
    <t>SS289</t>
  </si>
  <si>
    <t>4673746974711</t>
  </si>
  <si>
    <t>6307101000</t>
  </si>
  <si>
    <t>Shine Systems Carpet Clips - комплект пластиковых зажимов для ковров, 4 шт SS350</t>
  </si>
  <si>
    <t>2000649194700</t>
  </si>
  <si>
    <t>0.355</t>
  </si>
  <si>
    <t>Shine Systems Coating Sponge - аппликатор с прорезью для керамики 8*4,5*2 см (набор 3 шт) SS410</t>
  </si>
  <si>
    <t>2039613776253</t>
  </si>
  <si>
    <t>270.00</t>
  </si>
  <si>
    <t>Shine Systems PaperMats - бумажные двухслойные коврики для авто, размер 525х405, 500 шт SS452</t>
  </si>
  <si>
    <t>2000649176065</t>
  </si>
  <si>
    <t>4823709000</t>
  </si>
  <si>
    <t>1990.00</t>
  </si>
  <si>
    <t>410</t>
  </si>
  <si>
    <t>530</t>
  </si>
  <si>
    <t>7.44</t>
  </si>
  <si>
    <t>Shine Systems Alkali Trigger (EPDM) - профессиональный распрыскиватель для щелочных (1-13pH) и спиртовых составов SS520</t>
  </si>
  <si>
    <t>4673746977354</t>
  </si>
  <si>
    <t>310</t>
  </si>
  <si>
    <t>Shine Systems Standart Trigger - распрыскиватель дисперсионный (набор 3 шт) SS626</t>
  </si>
  <si>
    <t>2003961876002</t>
  </si>
  <si>
    <t>Shine Systems Bucket Lid - крышка резьбовая с ободом для ведра SS669</t>
  </si>
  <si>
    <t>2038206979064</t>
  </si>
  <si>
    <t>990.00</t>
  </si>
  <si>
    <t>Shine Systems Универсальная губка для салона авто 200*120*50мм SS692</t>
  </si>
  <si>
    <t>2000649190818</t>
  </si>
  <si>
    <t>3921139000</t>
  </si>
  <si>
    <t>ShineSystems AeroPump Spare Set NBR - ремкомплект помпового распылителя для растворителей SS713</t>
  </si>
  <si>
    <t>SS713</t>
  </si>
  <si>
    <t>4673746976241</t>
  </si>
  <si>
    <t>4016930005</t>
  </si>
  <si>
    <t>7</t>
  </si>
  <si>
    <t>2</t>
  </si>
  <si>
    <t>Shine Systems LeatherWipe - влажная салфетка для чистки кожи, 1 шт SS750</t>
  </si>
  <si>
    <t>4673746971734</t>
  </si>
  <si>
    <t>100.00</t>
  </si>
  <si>
    <t>0.02</t>
  </si>
  <si>
    <t>Shine Systems Velvet Towel - вельветовая микрофибра без оверлока, 40*40см SS972</t>
  </si>
  <si>
    <t>4673746974230</t>
  </si>
  <si>
    <t>180.00</t>
  </si>
  <si>
    <t>Shine Systems Home Line Home Kit - подарочный набор для дома SSHL999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</si>
</sst>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0"/>
      <name val="Calibri"/>
      <family val="2"/>
      <charset val="204"/>
    </font>
    <font>
      <sz val="10"/>
      <color rgb="FF7F7F7F"/>
      <name val="Calibri"/>
      <family val="2"/>
      <charset val="204"/>
    </font>
    <font>
      <sz val="11"/>
      <color rgb="FF000000"/>
      <name val="Calibri"/>
      <family val="2"/>
      <charset val="204"/>
    </font>
    <font>
      <u/>
      <sz val="10"/>
      <color rgb="FF0000FF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8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0" borderId="2" xfId="0" applyFont="1" applyBorder="1"/>
    <xf numFmtId="0" fontId="2" fillId="0" borderId="2" xfId="0" applyFont="1" applyBorder="1" applyAlignment="1">
      <alignment vertical="top" wrapText="1"/>
    </xf>
    <xf numFmtId="0" fontId="2" fillId="0" borderId="2" xfId="0" applyFont="1" applyBorder="1"/>
    <xf numFmtId="0" fontId="5" fillId="0" borderId="2" xfId="0" applyFont="1" applyBorder="1" applyAlignment="1">
      <alignment horizontal="left" vertical="top" wrapText="1"/>
    </xf>
    <xf numFmtId="22" fontId="2" fillId="0" borderId="2" xfId="0" applyNumberFormat="1" applyFont="1" applyBorder="1" applyAlignment="1">
      <alignment vertical="top" wrapText="1"/>
    </xf>
    <xf numFmtId="0" fontId="5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left" vertical="top" wrapText="1"/>
    </xf>
    <xf numFmtId="1" fontId="0" fillId="0" borderId="0" xfId="0" applyNumberFormat="1"/>
    <xf numFmtId="1" fontId="7" fillId="0" borderId="2" xfId="0" applyNumberFormat="1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vertical="top" wrapText="1"/>
    </xf>
    <xf numFmtId="1" fontId="2" fillId="0" borderId="2" xfId="0" applyNumberFormat="1" applyFont="1" applyBorder="1"/>
    <xf numFmtId="0" fontId="11" fillId="0" borderId="2" xfId="0" applyFont="1" applyBorder="1" applyAlignment="1">
      <alignment vertical="top" wrapText="1"/>
    </xf>
    <xf numFmtId="2" fontId="2" fillId="0" borderId="2" xfId="0" applyNumberFormat="1" applyFont="1" applyBorder="1" applyAlignment="1">
      <alignment vertical="top" wrapText="1"/>
    </xf>
    <xf numFmtId="2" fontId="2" fillId="0" borderId="2" xfId="0" applyNumberFormat="1" applyFont="1" applyBorder="1"/>
    <xf numFmtId="2" fontId="0" fillId="0" borderId="0" xfId="0" applyNumberFormat="1"/>
    <xf numFmtId="0" fontId="0" fillId="0" borderId="2" xfId="0" applyBorder="1"/>
    <xf numFmtId="0" fontId="1" fillId="0" borderId="3" xfId="0" applyFont="1" applyBorder="1" applyAlignment="1">
      <alignment horizontal="left" vertical="top" wrapText="1"/>
    </xf>
    <xf numFmtId="1" fontId="1" fillId="0" borderId="3" xfId="0" applyNumberFormat="1" applyFont="1" applyBorder="1" applyAlignment="1">
      <alignment horizontal="left" vertical="top" wrapText="1"/>
    </xf>
    <xf numFmtId="2" fontId="1" fillId="0" borderId="3" xfId="0" applyNumberFormat="1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vertical="top" wrapText="1"/>
    </xf>
    <xf numFmtId="164" fontId="1" fillId="0" borderId="3" xfId="0" applyNumberFormat="1" applyFont="1" applyBorder="1" applyAlignment="1">
      <alignment horizontal="left" vertical="top" wrapText="1"/>
    </xf>
    <xf numFmtId="9" fontId="1" fillId="0" borderId="3" xfId="0" applyNumberFormat="1" applyFont="1" applyBorder="1" applyAlignment="1">
      <alignment horizontal="left" vertical="top" wrapText="1"/>
    </xf>
    <xf numFmtId="165" fontId="1" fillId="0" borderId="3" xfId="0" applyNumberFormat="1" applyFont="1" applyBorder="1" applyAlignment="1">
      <alignment horizontal="left" vertical="top" wrapText="1"/>
    </xf>
    <xf numFmtId="0" fontId="1" fillId="0" borderId="3" xfId="0" applyNumberFormat="1" applyFont="1" applyBorder="1" applyAlignment="1">
      <alignment horizontal="left" vertical="top" wrapText="1"/>
    </xf>
    <xf numFmtId="0" fontId="0" fillId="0" borderId="3" xfId="0" applyBorder="1"/>
    <xf numFmtId="1" fontId="0" fillId="0" borderId="3" xfId="0" applyNumberFormat="1" applyBorder="1"/>
    <xf numFmtId="2" fontId="0" fillId="0" borderId="3" xfId="0" applyNumberFormat="1" applyBorder="1"/>
    <xf numFmtId="9" fontId="0" fillId="0" borderId="3" xfId="0" applyNumberFormat="1" applyBorder="1"/>
    <xf numFmtId="0" fontId="13" fillId="0" borderId="3" xfId="0" applyFont="1" applyBorder="1" applyAlignment="1">
      <alignment horizontal="right" wrapText="1"/>
    </xf>
    <xf numFmtId="0" fontId="13" fillId="0" borderId="5" xfId="0" applyFont="1" applyBorder="1" applyAlignment="1">
      <alignment wrapText="1"/>
    </xf>
    <xf numFmtId="0" fontId="13" fillId="0" borderId="5" xfId="0" applyFont="1" applyBorder="1" applyAlignment="1">
      <alignment horizontal="right" wrapText="1"/>
    </xf>
    <xf numFmtId="0" fontId="0" fillId="0" borderId="1" xfId="0" applyBorder="1"/>
    <xf numFmtId="1" fontId="0" fillId="0" borderId="1" xfId="0" applyNumberFormat="1" applyBorder="1"/>
    <xf numFmtId="0" fontId="0" fillId="3" borderId="1" xfId="0" applyFill="1" applyBorder="1"/>
    <xf numFmtId="1" fontId="0" fillId="3" borderId="1" xfId="0" applyNumberFormat="1" applyFill="1" applyBorder="1"/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5"/>
  <sheetViews>
    <sheetView tabSelected="1" topLeftCell="A488" workbookViewId="0">
      <selection activeCell="X506" sqref="X506"/>
    </sheetView>
  </sheetViews>
  <sheetFormatPr defaultRowHeight="14.4" x14ac:dyDescent="0.3"/>
  <cols>
    <col min="1" max="1" width="4" bestFit="1" customWidth="1"/>
    <col min="2" max="2" width="14.109375" style="13" bestFit="1" customWidth="1"/>
    <col min="3" max="3" width="97.77734375" customWidth="1"/>
    <col min="4" max="5" width="17.77734375" bestFit="1" customWidth="1"/>
    <col min="6" max="6" width="19.21875" bestFit="1" customWidth="1"/>
    <col min="7" max="7" width="16.21875" bestFit="1" customWidth="1"/>
    <col min="8" max="8" width="97.33203125" bestFit="1" customWidth="1"/>
    <col min="9" max="9" width="11.77734375" style="20" bestFit="1" customWidth="1"/>
    <col min="10" max="10" width="7" bestFit="1" customWidth="1"/>
    <col min="11" max="11" width="11.77734375" style="13" bestFit="1" customWidth="1"/>
    <col min="12" max="13" width="11.77734375" bestFit="1" customWidth="1"/>
    <col min="14" max="14" width="11.77734375" style="13" bestFit="1" customWidth="1"/>
    <col min="15" max="17" width="11.77734375" bestFit="1" customWidth="1"/>
    <col min="18" max="18" width="4.77734375" bestFit="1" customWidth="1"/>
    <col min="19" max="19" width="18.5546875" style="13" bestFit="1" customWidth="1"/>
    <col min="20" max="20" width="5.77734375" bestFit="1" customWidth="1"/>
    <col min="21" max="21" width="11.21875" bestFit="1" customWidth="1"/>
    <col min="22" max="22" width="17" bestFit="1" customWidth="1"/>
    <col min="23" max="25" width="7.44140625" style="13" bestFit="1" customWidth="1"/>
    <col min="26" max="26" width="9.77734375" bestFit="1" customWidth="1"/>
    <col min="27" max="27" width="14.77734375" bestFit="1" customWidth="1"/>
    <col min="28" max="28" width="10.21875" style="13" bestFit="1" customWidth="1"/>
    <col min="29" max="29" width="16.77734375" bestFit="1" customWidth="1"/>
    <col min="30" max="30" width="10.21875" bestFit="1" customWidth="1"/>
    <col min="31" max="31" width="12" bestFit="1" customWidth="1"/>
    <col min="32" max="33" width="8.44140625" bestFit="1" customWidth="1"/>
    <col min="34" max="34" width="37.5546875" style="20" customWidth="1"/>
    <col min="35" max="35" width="34.44140625" bestFit="1" customWidth="1"/>
  </cols>
  <sheetData>
    <row r="1" spans="1:35" x14ac:dyDescent="0.3">
      <c r="A1" s="47" t="s">
        <v>265</v>
      </c>
      <c r="B1" s="47" t="s">
        <v>6</v>
      </c>
      <c r="C1" s="3" t="s">
        <v>2115</v>
      </c>
      <c r="D1" s="3" t="s">
        <v>2118</v>
      </c>
      <c r="E1" s="4" t="s">
        <v>6</v>
      </c>
      <c r="F1" s="5" t="s">
        <v>6</v>
      </c>
      <c r="G1" s="6" t="s">
        <v>6</v>
      </c>
      <c r="H1" s="6" t="s">
        <v>6</v>
      </c>
      <c r="I1" s="18" t="s">
        <v>6</v>
      </c>
      <c r="J1" s="6" t="s">
        <v>6</v>
      </c>
      <c r="K1" s="15" t="s">
        <v>6</v>
      </c>
      <c r="L1" s="6" t="s">
        <v>6</v>
      </c>
      <c r="M1" s="6" t="s">
        <v>6</v>
      </c>
      <c r="N1" s="15" t="s">
        <v>6</v>
      </c>
      <c r="O1" s="6" t="s">
        <v>6</v>
      </c>
      <c r="P1" s="6" t="s">
        <v>6</v>
      </c>
      <c r="Q1" s="6" t="s">
        <v>6</v>
      </c>
      <c r="R1" s="6" t="s">
        <v>6</v>
      </c>
      <c r="S1" s="15" t="s">
        <v>6</v>
      </c>
      <c r="T1" s="6" t="s">
        <v>6</v>
      </c>
      <c r="U1" s="6" t="s">
        <v>6</v>
      </c>
      <c r="V1" t="s">
        <v>6</v>
      </c>
      <c r="W1" s="13" t="s">
        <v>6</v>
      </c>
      <c r="X1" s="13" t="s">
        <v>6</v>
      </c>
      <c r="Y1" s="13" t="s">
        <v>6</v>
      </c>
      <c r="Z1" t="s">
        <v>6</v>
      </c>
      <c r="AA1" t="s">
        <v>6</v>
      </c>
      <c r="AB1" s="13" t="s">
        <v>6</v>
      </c>
      <c r="AC1" t="s">
        <v>6</v>
      </c>
      <c r="AD1" t="s">
        <v>6</v>
      </c>
      <c r="AE1" t="s">
        <v>6</v>
      </c>
      <c r="AF1" t="s">
        <v>6</v>
      </c>
      <c r="AG1" t="s">
        <v>6</v>
      </c>
      <c r="AH1" s="20" t="s">
        <v>6</v>
      </c>
      <c r="AI1" t="s">
        <v>6</v>
      </c>
    </row>
    <row r="2" spans="1:35" x14ac:dyDescent="0.3">
      <c r="A2" s="47" t="s">
        <v>266</v>
      </c>
      <c r="B2" s="47" t="s">
        <v>6</v>
      </c>
      <c r="C2" s="3" t="s">
        <v>2115</v>
      </c>
      <c r="D2" s="3" t="s">
        <v>2119</v>
      </c>
      <c r="E2" s="4" t="s">
        <v>6</v>
      </c>
      <c r="F2" s="7" t="s">
        <v>6</v>
      </c>
      <c r="G2" s="3" t="s">
        <v>6</v>
      </c>
      <c r="H2" s="3" t="s">
        <v>6</v>
      </c>
      <c r="I2" s="18" t="s">
        <v>6</v>
      </c>
      <c r="J2" s="3" t="s">
        <v>6</v>
      </c>
      <c r="K2" s="15" t="s">
        <v>6</v>
      </c>
      <c r="L2" t="s">
        <v>6</v>
      </c>
      <c r="M2" t="s">
        <v>6</v>
      </c>
      <c r="N2" s="13" t="s">
        <v>6</v>
      </c>
      <c r="O2" t="s">
        <v>6</v>
      </c>
      <c r="P2" t="s">
        <v>6</v>
      </c>
      <c r="Q2" t="s">
        <v>6</v>
      </c>
      <c r="R2" t="s">
        <v>6</v>
      </c>
      <c r="S2" s="13" t="s">
        <v>6</v>
      </c>
      <c r="T2" t="s">
        <v>6</v>
      </c>
      <c r="U2" t="s">
        <v>6</v>
      </c>
      <c r="V2" t="s">
        <v>6</v>
      </c>
      <c r="W2" s="13" t="s">
        <v>6</v>
      </c>
      <c r="X2" s="13" t="s">
        <v>6</v>
      </c>
      <c r="Y2" s="13" t="s">
        <v>6</v>
      </c>
      <c r="Z2" t="s">
        <v>6</v>
      </c>
      <c r="AA2" t="s">
        <v>6</v>
      </c>
      <c r="AB2" s="13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s="20" t="s">
        <v>6</v>
      </c>
      <c r="AI2" t="s">
        <v>6</v>
      </c>
    </row>
    <row r="3" spans="1:35" x14ac:dyDescent="0.3">
      <c r="A3" s="47" t="s">
        <v>267</v>
      </c>
      <c r="B3" s="47" t="s">
        <v>6</v>
      </c>
      <c r="C3" s="3" t="s">
        <v>268</v>
      </c>
      <c r="D3" s="4" t="s">
        <v>6</v>
      </c>
      <c r="E3" s="4" t="s">
        <v>6</v>
      </c>
      <c r="F3" s="7" t="s">
        <v>6</v>
      </c>
      <c r="G3" s="4" t="s">
        <v>6</v>
      </c>
      <c r="H3" s="4" t="s">
        <v>6</v>
      </c>
      <c r="I3" s="19" t="s">
        <v>6</v>
      </c>
      <c r="J3" s="4" t="s">
        <v>6</v>
      </c>
      <c r="K3" s="16" t="s">
        <v>6</v>
      </c>
      <c r="L3" t="s">
        <v>6</v>
      </c>
      <c r="M3" t="s">
        <v>6</v>
      </c>
      <c r="N3" s="13" t="s">
        <v>6</v>
      </c>
      <c r="O3" t="s">
        <v>6</v>
      </c>
      <c r="P3" t="s">
        <v>6</v>
      </c>
      <c r="Q3" t="s">
        <v>6</v>
      </c>
      <c r="R3" t="s">
        <v>6</v>
      </c>
      <c r="S3" s="13" t="s">
        <v>6</v>
      </c>
      <c r="T3" t="s">
        <v>6</v>
      </c>
      <c r="U3" t="s">
        <v>6</v>
      </c>
      <c r="V3" t="s">
        <v>6</v>
      </c>
      <c r="W3" s="13" t="s">
        <v>6</v>
      </c>
      <c r="X3" s="13" t="s">
        <v>6</v>
      </c>
      <c r="Y3" s="13" t="s">
        <v>6</v>
      </c>
      <c r="Z3" t="s">
        <v>6</v>
      </c>
      <c r="AA3" t="s">
        <v>6</v>
      </c>
      <c r="AB3" s="13" t="s">
        <v>6</v>
      </c>
      <c r="AC3" t="s">
        <v>6</v>
      </c>
      <c r="AD3" t="s">
        <v>6</v>
      </c>
      <c r="AE3" t="s">
        <v>6</v>
      </c>
      <c r="AF3" t="s">
        <v>6</v>
      </c>
      <c r="AG3" t="s">
        <v>6</v>
      </c>
      <c r="AH3" s="20" t="s">
        <v>6</v>
      </c>
      <c r="AI3" t="s">
        <v>6</v>
      </c>
    </row>
    <row r="4" spans="1:35" x14ac:dyDescent="0.3">
      <c r="A4" s="47" t="s">
        <v>269</v>
      </c>
      <c r="B4" s="47" t="s">
        <v>6</v>
      </c>
      <c r="C4" s="3" t="s">
        <v>2116</v>
      </c>
      <c r="D4" s="4" t="s">
        <v>2117</v>
      </c>
      <c r="E4" s="4" t="s">
        <v>6</v>
      </c>
      <c r="F4" s="7" t="s">
        <v>6</v>
      </c>
      <c r="G4" s="4" t="s">
        <v>6</v>
      </c>
      <c r="H4" s="4" t="s">
        <v>6</v>
      </c>
      <c r="I4" s="19" t="s">
        <v>6</v>
      </c>
      <c r="J4" s="4" t="s">
        <v>6</v>
      </c>
      <c r="K4" s="16" t="s">
        <v>6</v>
      </c>
      <c r="L4" t="s">
        <v>6</v>
      </c>
      <c r="M4" t="s">
        <v>6</v>
      </c>
      <c r="N4" s="13" t="s">
        <v>6</v>
      </c>
      <c r="O4" t="s">
        <v>6</v>
      </c>
      <c r="P4" t="s">
        <v>6</v>
      </c>
      <c r="Q4" t="s">
        <v>6</v>
      </c>
      <c r="R4" t="s">
        <v>6</v>
      </c>
      <c r="S4" s="13" t="s">
        <v>6</v>
      </c>
      <c r="T4" t="s">
        <v>6</v>
      </c>
      <c r="U4" t="s">
        <v>6</v>
      </c>
      <c r="V4" t="s">
        <v>6</v>
      </c>
      <c r="W4" s="13" t="s">
        <v>6</v>
      </c>
      <c r="X4" s="13" t="s">
        <v>6</v>
      </c>
      <c r="Y4" s="13" t="s">
        <v>6</v>
      </c>
      <c r="Z4" t="s">
        <v>6</v>
      </c>
      <c r="AA4" t="s">
        <v>6</v>
      </c>
      <c r="AB4" s="13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s="20" t="s">
        <v>6</v>
      </c>
      <c r="AI4" t="s">
        <v>6</v>
      </c>
    </row>
    <row r="5" spans="1:35" x14ac:dyDescent="0.3">
      <c r="A5" s="47" t="s">
        <v>270</v>
      </c>
      <c r="B5" s="47" t="s">
        <v>6</v>
      </c>
      <c r="C5" s="50"/>
      <c r="D5" s="51"/>
      <c r="E5" s="51"/>
      <c r="F5" s="5" t="s">
        <v>6</v>
      </c>
      <c r="G5" s="53" t="s">
        <v>6</v>
      </c>
      <c r="H5" s="53" t="s">
        <v>6</v>
      </c>
      <c r="I5" s="53" t="s">
        <v>6</v>
      </c>
      <c r="J5" s="4" t="s">
        <v>6</v>
      </c>
      <c r="K5" s="16" t="s">
        <v>6</v>
      </c>
      <c r="L5" t="s">
        <v>6</v>
      </c>
      <c r="M5" t="s">
        <v>6</v>
      </c>
      <c r="N5" s="13" t="s">
        <v>6</v>
      </c>
      <c r="O5" t="s">
        <v>6</v>
      </c>
      <c r="P5" t="s">
        <v>6</v>
      </c>
      <c r="Q5" t="s">
        <v>6</v>
      </c>
      <c r="R5" t="s">
        <v>6</v>
      </c>
      <c r="S5" s="13" t="s">
        <v>6</v>
      </c>
      <c r="T5" t="s">
        <v>6</v>
      </c>
      <c r="U5" t="s">
        <v>6</v>
      </c>
      <c r="V5" t="s">
        <v>6</v>
      </c>
      <c r="W5" s="13" t="s">
        <v>6</v>
      </c>
      <c r="X5" s="13" t="s">
        <v>6</v>
      </c>
      <c r="Y5" s="13" t="s">
        <v>6</v>
      </c>
      <c r="Z5" t="s">
        <v>6</v>
      </c>
      <c r="AA5" t="s">
        <v>6</v>
      </c>
      <c r="AB5" s="13" t="s">
        <v>6</v>
      </c>
      <c r="AC5" t="s">
        <v>6</v>
      </c>
      <c r="AD5" t="s">
        <v>6</v>
      </c>
      <c r="AE5" t="s">
        <v>6</v>
      </c>
      <c r="AF5" t="s">
        <v>6</v>
      </c>
      <c r="AG5" t="s">
        <v>6</v>
      </c>
      <c r="AH5" s="20" t="s">
        <v>6</v>
      </c>
      <c r="AI5" t="s">
        <v>6</v>
      </c>
    </row>
    <row r="6" spans="1:35" x14ac:dyDescent="0.3">
      <c r="A6" s="47" t="s">
        <v>271</v>
      </c>
      <c r="B6" s="47" t="s">
        <v>6</v>
      </c>
      <c r="C6" s="51" t="s">
        <v>2377</v>
      </c>
      <c r="D6" s="51" t="s">
        <v>6</v>
      </c>
      <c r="E6" s="51" t="s">
        <v>6</v>
      </c>
      <c r="F6" s="4" t="s">
        <v>6</v>
      </c>
      <c r="G6" s="4" t="s">
        <v>6</v>
      </c>
      <c r="H6" s="4" t="s">
        <v>6</v>
      </c>
      <c r="I6" s="19" t="s">
        <v>6</v>
      </c>
      <c r="J6" s="4" t="s">
        <v>6</v>
      </c>
      <c r="K6" s="16" t="s">
        <v>6</v>
      </c>
      <c r="L6" t="s">
        <v>6</v>
      </c>
      <c r="M6" t="s">
        <v>6</v>
      </c>
      <c r="N6" s="13" t="s">
        <v>6</v>
      </c>
      <c r="O6" t="s">
        <v>6</v>
      </c>
      <c r="P6" t="s">
        <v>6</v>
      </c>
      <c r="Q6" t="s">
        <v>6</v>
      </c>
      <c r="R6" t="s">
        <v>6</v>
      </c>
      <c r="S6" s="13" t="s">
        <v>6</v>
      </c>
      <c r="T6" t="s">
        <v>6</v>
      </c>
      <c r="U6" t="s">
        <v>6</v>
      </c>
      <c r="V6" t="s">
        <v>6</v>
      </c>
      <c r="W6" s="13" t="s">
        <v>6</v>
      </c>
      <c r="X6" s="13" t="s">
        <v>6</v>
      </c>
      <c r="Y6" s="13" t="s">
        <v>6</v>
      </c>
      <c r="Z6" t="s">
        <v>6</v>
      </c>
      <c r="AA6" t="s">
        <v>6</v>
      </c>
      <c r="AB6" s="13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s="20" t="s">
        <v>6</v>
      </c>
      <c r="AI6" t="s">
        <v>6</v>
      </c>
    </row>
    <row r="7" spans="1:35" x14ac:dyDescent="0.3">
      <c r="A7" s="8" t="s">
        <v>6</v>
      </c>
      <c r="B7" s="8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19" t="s">
        <v>6</v>
      </c>
      <c r="J7" s="4" t="s">
        <v>6</v>
      </c>
      <c r="K7" s="16" t="s">
        <v>6</v>
      </c>
      <c r="L7" t="s">
        <v>6</v>
      </c>
      <c r="M7" t="s">
        <v>6</v>
      </c>
      <c r="N7" s="13" t="s">
        <v>6</v>
      </c>
      <c r="O7" t="s">
        <v>6</v>
      </c>
      <c r="P7" t="s">
        <v>6</v>
      </c>
      <c r="Q7" t="s">
        <v>6</v>
      </c>
      <c r="R7" t="s">
        <v>6</v>
      </c>
      <c r="S7" s="13" t="s">
        <v>6</v>
      </c>
      <c r="T7" t="s">
        <v>6</v>
      </c>
      <c r="U7" t="s">
        <v>6</v>
      </c>
      <c r="V7" t="s">
        <v>6</v>
      </c>
      <c r="W7" s="13" t="s">
        <v>6</v>
      </c>
      <c r="X7" s="13" t="s">
        <v>6</v>
      </c>
      <c r="Y7" s="13" t="s">
        <v>6</v>
      </c>
      <c r="Z7" t="s">
        <v>6</v>
      </c>
      <c r="AB7" s="13" t="s">
        <v>6</v>
      </c>
      <c r="AC7" t="s">
        <v>6</v>
      </c>
      <c r="AD7" t="s">
        <v>6</v>
      </c>
      <c r="AE7" t="s">
        <v>6</v>
      </c>
      <c r="AF7" t="s">
        <v>6</v>
      </c>
      <c r="AG7" t="s">
        <v>6</v>
      </c>
      <c r="AH7" s="20" t="s">
        <v>6</v>
      </c>
      <c r="AI7" t="s">
        <v>6</v>
      </c>
    </row>
    <row r="8" spans="1:35" x14ac:dyDescent="0.3">
      <c r="A8" s="8" t="s">
        <v>6</v>
      </c>
      <c r="B8" s="9" t="s">
        <v>6</v>
      </c>
      <c r="C8" s="10" t="s">
        <v>272</v>
      </c>
      <c r="D8" s="11" t="s">
        <v>273</v>
      </c>
      <c r="E8" s="11" t="s">
        <v>274</v>
      </c>
      <c r="F8" s="52" t="s">
        <v>275</v>
      </c>
      <c r="G8" s="52" t="s">
        <v>6</v>
      </c>
      <c r="H8" t="s">
        <v>6</v>
      </c>
      <c r="I8" s="19"/>
      <c r="J8" s="4" t="s">
        <v>6</v>
      </c>
      <c r="K8" s="16" t="s">
        <v>6</v>
      </c>
      <c r="L8" t="s">
        <v>6</v>
      </c>
      <c r="M8" t="s">
        <v>6</v>
      </c>
      <c r="N8" s="13" t="s">
        <v>6</v>
      </c>
      <c r="O8" t="s">
        <v>6</v>
      </c>
      <c r="P8" t="s">
        <v>6</v>
      </c>
      <c r="Q8" t="s">
        <v>6</v>
      </c>
      <c r="R8" t="s">
        <v>6</v>
      </c>
      <c r="S8" s="13" t="s">
        <v>6</v>
      </c>
      <c r="T8" t="s">
        <v>6</v>
      </c>
      <c r="U8" t="s">
        <v>6</v>
      </c>
      <c r="V8" t="s">
        <v>6</v>
      </c>
      <c r="W8" s="13" t="s">
        <v>6</v>
      </c>
      <c r="X8" s="13" t="s">
        <v>6</v>
      </c>
      <c r="Y8" s="13" t="s">
        <v>6</v>
      </c>
      <c r="Z8" t="s">
        <v>6</v>
      </c>
      <c r="AA8" t="s">
        <v>6</v>
      </c>
      <c r="AB8" s="13" t="s">
        <v>6</v>
      </c>
      <c r="AC8" t="s">
        <v>6</v>
      </c>
      <c r="AD8" t="s">
        <v>6</v>
      </c>
      <c r="AE8" t="s">
        <v>6</v>
      </c>
      <c r="AF8" t="s">
        <v>6</v>
      </c>
      <c r="AG8" t="s">
        <v>6</v>
      </c>
      <c r="AH8" s="20" t="s">
        <v>6</v>
      </c>
      <c r="AI8" t="s">
        <v>6</v>
      </c>
    </row>
    <row r="9" spans="1:35" x14ac:dyDescent="0.3">
      <c r="A9" s="47" t="s">
        <v>276</v>
      </c>
      <c r="B9" s="47" t="s">
        <v>6</v>
      </c>
      <c r="C9" s="17" t="s">
        <v>1007</v>
      </c>
      <c r="D9" s="12">
        <v>7722753969</v>
      </c>
      <c r="E9" s="12">
        <v>997750001</v>
      </c>
      <c r="F9" s="48">
        <v>4607977269995</v>
      </c>
      <c r="G9" s="49"/>
      <c r="H9" s="13"/>
      <c r="I9" s="19" t="s">
        <v>6</v>
      </c>
      <c r="J9" s="4" t="s">
        <v>6</v>
      </c>
      <c r="K9" s="16" t="s">
        <v>6</v>
      </c>
      <c r="L9" t="s">
        <v>6</v>
      </c>
      <c r="M9" t="s">
        <v>6</v>
      </c>
      <c r="N9" s="13" t="s">
        <v>6</v>
      </c>
      <c r="O9" t="s">
        <v>6</v>
      </c>
      <c r="P9" t="s">
        <v>6</v>
      </c>
      <c r="Q9" t="s">
        <v>6</v>
      </c>
      <c r="R9" t="s">
        <v>6</v>
      </c>
      <c r="S9" s="13" t="s">
        <v>6</v>
      </c>
      <c r="T9" t="s">
        <v>6</v>
      </c>
      <c r="U9" t="s">
        <v>6</v>
      </c>
      <c r="V9" t="s">
        <v>6</v>
      </c>
      <c r="W9" s="13" t="s">
        <v>6</v>
      </c>
      <c r="X9" s="13" t="s">
        <v>6</v>
      </c>
      <c r="Y9" s="13" t="s">
        <v>6</v>
      </c>
      <c r="Z9" t="s">
        <v>6</v>
      </c>
      <c r="AA9" t="s">
        <v>6</v>
      </c>
      <c r="AB9" s="13" t="s">
        <v>6</v>
      </c>
      <c r="AC9" t="s">
        <v>6</v>
      </c>
      <c r="AD9" t="s">
        <v>6</v>
      </c>
      <c r="AE9" t="s">
        <v>6</v>
      </c>
      <c r="AF9" t="s">
        <v>6</v>
      </c>
      <c r="AG9" t="s">
        <v>6</v>
      </c>
      <c r="AH9" s="20" t="s">
        <v>6</v>
      </c>
      <c r="AI9" t="s">
        <v>6</v>
      </c>
    </row>
    <row r="10" spans="1:35" x14ac:dyDescent="0.3">
      <c r="A10" s="47" t="s">
        <v>277</v>
      </c>
      <c r="B10" s="47" t="s">
        <v>6</v>
      </c>
      <c r="C10" s="17" t="s">
        <v>310</v>
      </c>
      <c r="D10" s="12">
        <v>5407951552</v>
      </c>
      <c r="E10" s="12">
        <v>540501001</v>
      </c>
      <c r="F10" s="48">
        <v>4652245476995</v>
      </c>
      <c r="G10" s="49"/>
      <c r="H10" t="s">
        <v>6</v>
      </c>
      <c r="I10" s="19" t="s">
        <v>6</v>
      </c>
      <c r="J10" s="4" t="s">
        <v>6</v>
      </c>
      <c r="K10" s="16" t="s">
        <v>6</v>
      </c>
      <c r="L10" t="s">
        <v>6</v>
      </c>
      <c r="M10" t="s">
        <v>6</v>
      </c>
      <c r="N10" s="13" t="s">
        <v>6</v>
      </c>
      <c r="O10" t="s">
        <v>6</v>
      </c>
      <c r="P10" t="s">
        <v>6</v>
      </c>
      <c r="Q10" t="s">
        <v>6</v>
      </c>
      <c r="R10" t="s">
        <v>6</v>
      </c>
      <c r="S10" s="13" t="s">
        <v>6</v>
      </c>
      <c r="T10" t="s">
        <v>6</v>
      </c>
      <c r="U10" t="s">
        <v>6</v>
      </c>
      <c r="V10" t="s">
        <v>6</v>
      </c>
      <c r="W10" s="14" t="s">
        <v>6</v>
      </c>
      <c r="X10" s="13" t="s">
        <v>6</v>
      </c>
      <c r="Y10" s="13" t="s">
        <v>6</v>
      </c>
      <c r="Z10" t="s">
        <v>6</v>
      </c>
      <c r="AA10" t="s">
        <v>6</v>
      </c>
      <c r="AB10" s="13" t="s">
        <v>6</v>
      </c>
      <c r="AC10" t="s">
        <v>6</v>
      </c>
      <c r="AD10" t="s">
        <v>6</v>
      </c>
      <c r="AE10" t="s">
        <v>6</v>
      </c>
      <c r="AF10" t="s">
        <v>6</v>
      </c>
      <c r="AG10" t="s">
        <v>6</v>
      </c>
      <c r="AH10" s="20" t="s">
        <v>6</v>
      </c>
      <c r="AI10" t="s">
        <v>6</v>
      </c>
    </row>
    <row r="11" spans="1:35" x14ac:dyDescent="0.3">
      <c r="A11" s="4" t="s">
        <v>6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19" t="s">
        <v>6</v>
      </c>
      <c r="J11" s="4" t="s">
        <v>6</v>
      </c>
      <c r="K11" s="16" t="s">
        <v>6</v>
      </c>
      <c r="L11" t="s">
        <v>6</v>
      </c>
      <c r="M11" t="s">
        <v>6</v>
      </c>
      <c r="N11" s="13" t="s">
        <v>6</v>
      </c>
      <c r="O11" t="s">
        <v>6</v>
      </c>
      <c r="P11" t="s">
        <v>6</v>
      </c>
      <c r="Q11" t="s">
        <v>6</v>
      </c>
      <c r="R11" t="s">
        <v>6</v>
      </c>
      <c r="S11" s="13" t="s">
        <v>6</v>
      </c>
      <c r="T11" t="s">
        <v>6</v>
      </c>
      <c r="U11" t="s">
        <v>6</v>
      </c>
      <c r="V11" t="s">
        <v>6</v>
      </c>
      <c r="W11" s="14" t="s">
        <v>6</v>
      </c>
      <c r="X11" s="13" t="s">
        <v>6</v>
      </c>
      <c r="Y11" s="13" t="s">
        <v>6</v>
      </c>
      <c r="Z11" t="s">
        <v>6</v>
      </c>
      <c r="AA11" t="s">
        <v>6</v>
      </c>
      <c r="AB11" s="13" t="s">
        <v>6</v>
      </c>
      <c r="AC11" t="s">
        <v>6</v>
      </c>
      <c r="AD11" t="s">
        <v>6</v>
      </c>
      <c r="AE11" t="s">
        <v>6</v>
      </c>
      <c r="AF11" t="s">
        <v>6</v>
      </c>
      <c r="AG11" t="s">
        <v>6</v>
      </c>
      <c r="AH11" s="20" t="s">
        <v>6</v>
      </c>
      <c r="AI11" t="s">
        <v>6</v>
      </c>
    </row>
    <row r="12" spans="1:35" ht="41.4" x14ac:dyDescent="0.3">
      <c r="A12" s="22" t="s">
        <v>0</v>
      </c>
      <c r="B12" s="23" t="s">
        <v>278</v>
      </c>
      <c r="C12" s="22" t="s">
        <v>272</v>
      </c>
      <c r="D12" s="22" t="s">
        <v>279</v>
      </c>
      <c r="E12" s="22" t="s">
        <v>280</v>
      </c>
      <c r="F12" s="22" t="s">
        <v>281</v>
      </c>
      <c r="G12" s="22" t="s">
        <v>282</v>
      </c>
      <c r="H12" s="22" t="s">
        <v>283</v>
      </c>
      <c r="I12" s="24" t="s">
        <v>284</v>
      </c>
      <c r="J12" s="22" t="s">
        <v>285</v>
      </c>
      <c r="K12" s="23" t="s">
        <v>286</v>
      </c>
      <c r="L12" s="22" t="s">
        <v>287</v>
      </c>
      <c r="M12" s="22" t="s">
        <v>288</v>
      </c>
      <c r="N12" s="23" t="s">
        <v>289</v>
      </c>
      <c r="O12" s="22" t="s">
        <v>290</v>
      </c>
      <c r="P12" s="22" t="s">
        <v>291</v>
      </c>
      <c r="Q12" s="22" t="s">
        <v>292</v>
      </c>
      <c r="R12" s="22" t="s">
        <v>293</v>
      </c>
      <c r="S12" s="23" t="s">
        <v>294</v>
      </c>
      <c r="T12" s="46" t="s">
        <v>260</v>
      </c>
      <c r="U12" s="46" t="s">
        <v>6</v>
      </c>
      <c r="V12" s="22" t="s">
        <v>295</v>
      </c>
      <c r="W12" s="23" t="s">
        <v>296</v>
      </c>
      <c r="X12" s="23" t="s">
        <v>297</v>
      </c>
      <c r="Y12" s="23" t="s">
        <v>298</v>
      </c>
      <c r="Z12" s="22" t="s">
        <v>299</v>
      </c>
      <c r="AA12" s="25" t="s">
        <v>300</v>
      </c>
      <c r="AB12" s="23" t="s">
        <v>301</v>
      </c>
      <c r="AC12" s="22" t="s">
        <v>302</v>
      </c>
      <c r="AD12" s="22" t="s">
        <v>303</v>
      </c>
      <c r="AE12" s="22" t="s">
        <v>304</v>
      </c>
      <c r="AF12" s="22" t="s">
        <v>305</v>
      </c>
      <c r="AG12" s="22" t="s">
        <v>306</v>
      </c>
      <c r="AH12" s="24" t="s">
        <v>307</v>
      </c>
      <c r="AI12" s="45" t="s">
        <v>308</v>
      </c>
    </row>
    <row r="13" spans="1:35" x14ac:dyDescent="0.3">
      <c r="A13" s="22">
        <v>1</v>
      </c>
      <c r="B13" s="23">
        <v>2037427400104</v>
      </c>
      <c r="C13" s="26" t="s">
        <v>311</v>
      </c>
      <c r="D13" s="22" t="s">
        <v>312</v>
      </c>
      <c r="E13" s="22" t="s">
        <v>312</v>
      </c>
      <c r="F13" s="27" t="s">
        <v>1944</v>
      </c>
      <c r="G13" s="27"/>
      <c r="H13" s="27" t="s">
        <v>311</v>
      </c>
      <c r="I13" s="24">
        <v>82.786885245901644</v>
      </c>
      <c r="J13" s="28">
        <v>0.22</v>
      </c>
      <c r="K13" s="23">
        <v>101</v>
      </c>
      <c r="L13" s="23">
        <v>101</v>
      </c>
      <c r="M13" s="29" t="s">
        <v>309</v>
      </c>
      <c r="N13" s="23" t="s">
        <v>890</v>
      </c>
      <c r="O13" s="29" t="s">
        <v>309</v>
      </c>
      <c r="P13" s="29"/>
      <c r="Q13" s="29"/>
      <c r="R13" s="22"/>
      <c r="S13" s="23">
        <v>1</v>
      </c>
      <c r="T13" s="22"/>
      <c r="U13" s="22"/>
      <c r="V13" s="27"/>
      <c r="W13" s="23" t="s">
        <v>891</v>
      </c>
      <c r="X13" s="23" t="s">
        <v>891</v>
      </c>
      <c r="Y13" s="23" t="s">
        <v>892</v>
      </c>
      <c r="Z13" s="22" t="s">
        <v>889</v>
      </c>
      <c r="AA13" s="22"/>
      <c r="AB13" s="23">
        <f>_xlfn.XLOOKUP(D13,nomen!A:A,nomen!C:C,0)</f>
        <v>1467</v>
      </c>
      <c r="AC13" s="23"/>
      <c r="AD13" s="27"/>
      <c r="AE13" s="27"/>
      <c r="AF13" s="27" t="s">
        <v>179</v>
      </c>
      <c r="AG13" s="30">
        <v>0.05</v>
      </c>
      <c r="AH13" s="24"/>
      <c r="AI13" s="45" t="s">
        <v>6</v>
      </c>
    </row>
    <row r="14" spans="1:35" x14ac:dyDescent="0.3">
      <c r="A14" s="22">
        <v>2</v>
      </c>
      <c r="B14" s="23">
        <v>2038480134739</v>
      </c>
      <c r="C14" s="26" t="s">
        <v>313</v>
      </c>
      <c r="D14" s="22" t="s">
        <v>314</v>
      </c>
      <c r="E14" s="22" t="s">
        <v>314</v>
      </c>
      <c r="F14" s="27" t="s">
        <v>1944</v>
      </c>
      <c r="G14" s="27"/>
      <c r="H14" s="27" t="s">
        <v>313</v>
      </c>
      <c r="I14" s="24">
        <v>82.786885245901644</v>
      </c>
      <c r="J14" s="28">
        <v>0.22</v>
      </c>
      <c r="K14" s="23">
        <v>101</v>
      </c>
      <c r="L14" s="23">
        <v>101</v>
      </c>
      <c r="M14" s="29" t="s">
        <v>309</v>
      </c>
      <c r="N14" s="23" t="s">
        <v>890</v>
      </c>
      <c r="O14" s="29" t="s">
        <v>309</v>
      </c>
      <c r="P14" s="29"/>
      <c r="Q14" s="29"/>
      <c r="R14" s="22"/>
      <c r="S14" s="23">
        <v>1</v>
      </c>
      <c r="T14" s="22"/>
      <c r="U14" s="22"/>
      <c r="V14" s="27"/>
      <c r="W14" s="23" t="s">
        <v>893</v>
      </c>
      <c r="X14" s="23">
        <v>80</v>
      </c>
      <c r="Y14" s="23">
        <v>80</v>
      </c>
      <c r="Z14" s="22" t="s">
        <v>889</v>
      </c>
      <c r="AA14" s="22"/>
      <c r="AB14" s="23">
        <f>_xlfn.XLOOKUP(E14,nomen!A:A,nomen!C:C,0)</f>
        <v>1430</v>
      </c>
      <c r="AC14" s="23"/>
      <c r="AD14" s="27"/>
      <c r="AE14" s="27"/>
      <c r="AF14" s="27" t="s">
        <v>179</v>
      </c>
      <c r="AG14" s="30">
        <v>0.02</v>
      </c>
      <c r="AH14" s="24"/>
      <c r="AI14" s="21"/>
    </row>
    <row r="15" spans="1:35" x14ac:dyDescent="0.3">
      <c r="A15" s="22">
        <v>3</v>
      </c>
      <c r="B15" s="23">
        <v>2000000016801</v>
      </c>
      <c r="C15" s="26" t="s">
        <v>315</v>
      </c>
      <c r="D15" s="22" t="s">
        <v>316</v>
      </c>
      <c r="E15" s="22" t="s">
        <v>316</v>
      </c>
      <c r="F15" s="27" t="s">
        <v>1944</v>
      </c>
      <c r="G15" s="27"/>
      <c r="H15" s="27" t="s">
        <v>315</v>
      </c>
      <c r="I15" s="24">
        <v>82.786885245901644</v>
      </c>
      <c r="J15" s="28">
        <v>0.22</v>
      </c>
      <c r="K15" s="23">
        <v>101</v>
      </c>
      <c r="L15" s="23">
        <v>101</v>
      </c>
      <c r="M15" s="29" t="s">
        <v>309</v>
      </c>
      <c r="N15" s="23" t="s">
        <v>890</v>
      </c>
      <c r="O15" s="29" t="s">
        <v>309</v>
      </c>
      <c r="P15" s="29"/>
      <c r="Q15" s="29"/>
      <c r="R15" s="22"/>
      <c r="S15" s="23">
        <v>1</v>
      </c>
      <c r="T15" s="22"/>
      <c r="U15" s="22"/>
      <c r="V15" s="27"/>
      <c r="W15" s="23" t="s">
        <v>894</v>
      </c>
      <c r="X15" s="23" t="s">
        <v>894</v>
      </c>
      <c r="Y15" s="23" t="s">
        <v>895</v>
      </c>
      <c r="Z15" s="22" t="s">
        <v>889</v>
      </c>
      <c r="AA15" s="22"/>
      <c r="AB15" s="23">
        <f>_xlfn.XLOOKUP(E15,nomen!A:A,nomen!C:C,0)</f>
        <v>925</v>
      </c>
      <c r="AC15" s="23"/>
      <c r="AD15" s="27"/>
      <c r="AE15" s="27"/>
      <c r="AF15" s="27" t="s">
        <v>179</v>
      </c>
      <c r="AG15" s="30">
        <v>7.0000000000000007E-2</v>
      </c>
      <c r="AH15" s="24"/>
      <c r="AI15" s="21" t="s">
        <v>6</v>
      </c>
    </row>
    <row r="16" spans="1:35" x14ac:dyDescent="0.3">
      <c r="A16" s="22">
        <v>4</v>
      </c>
      <c r="B16" s="23">
        <v>2037427399323</v>
      </c>
      <c r="C16" s="26" t="s">
        <v>317</v>
      </c>
      <c r="D16" s="22" t="s">
        <v>318</v>
      </c>
      <c r="E16" s="22" t="s">
        <v>318</v>
      </c>
      <c r="F16" s="27" t="s">
        <v>1944</v>
      </c>
      <c r="G16" s="27"/>
      <c r="H16" s="27" t="s">
        <v>317</v>
      </c>
      <c r="I16" s="24">
        <v>459.01639344262298</v>
      </c>
      <c r="J16" s="28">
        <v>0.22</v>
      </c>
      <c r="K16" s="23">
        <v>560</v>
      </c>
      <c r="L16" s="23">
        <v>560</v>
      </c>
      <c r="M16" s="29" t="s">
        <v>309</v>
      </c>
      <c r="N16" s="23" t="s">
        <v>896</v>
      </c>
      <c r="O16" s="29" t="s">
        <v>309</v>
      </c>
      <c r="P16" s="29"/>
      <c r="Q16" s="29"/>
      <c r="R16" s="22"/>
      <c r="S16" s="23">
        <v>1</v>
      </c>
      <c r="T16" s="22"/>
      <c r="U16" s="22"/>
      <c r="V16" s="27"/>
      <c r="W16" s="23" t="s">
        <v>897</v>
      </c>
      <c r="X16" s="23" t="s">
        <v>897</v>
      </c>
      <c r="Y16" s="23" t="s">
        <v>898</v>
      </c>
      <c r="Z16" s="22" t="s">
        <v>889</v>
      </c>
      <c r="AA16" s="22"/>
      <c r="AB16" s="23">
        <f>_xlfn.XLOOKUP(E16,nomen!A:A,nomen!C:C,0)</f>
        <v>725</v>
      </c>
      <c r="AC16" s="23"/>
      <c r="AD16" s="27"/>
      <c r="AE16" s="27"/>
      <c r="AF16" s="27" t="s">
        <v>179</v>
      </c>
      <c r="AG16" s="30">
        <v>0.8</v>
      </c>
      <c r="AH16" s="24"/>
      <c r="AI16" s="21" t="s">
        <v>6</v>
      </c>
    </row>
    <row r="17" spans="1:35" x14ac:dyDescent="0.3">
      <c r="A17" s="22">
        <v>5</v>
      </c>
      <c r="B17" s="23">
        <v>2037427399569</v>
      </c>
      <c r="C17" s="26" t="s">
        <v>319</v>
      </c>
      <c r="D17" s="22" t="s">
        <v>320</v>
      </c>
      <c r="E17" s="22" t="s">
        <v>320</v>
      </c>
      <c r="F17" s="27" t="s">
        <v>1944</v>
      </c>
      <c r="G17" s="27"/>
      <c r="H17" s="27" t="s">
        <v>319</v>
      </c>
      <c r="I17" s="24">
        <v>104.09836065573771</v>
      </c>
      <c r="J17" s="28">
        <v>0.22</v>
      </c>
      <c r="K17" s="23">
        <v>127</v>
      </c>
      <c r="L17" s="23">
        <v>127</v>
      </c>
      <c r="M17" s="29" t="s">
        <v>309</v>
      </c>
      <c r="N17" s="23" t="s">
        <v>899</v>
      </c>
      <c r="O17" s="29" t="s">
        <v>309</v>
      </c>
      <c r="P17" s="29"/>
      <c r="Q17" s="29"/>
      <c r="R17" s="22"/>
      <c r="S17" s="23">
        <v>1</v>
      </c>
      <c r="T17" s="22"/>
      <c r="U17" s="22"/>
      <c r="V17" s="27"/>
      <c r="W17" s="23" t="s">
        <v>900</v>
      </c>
      <c r="X17" s="23" t="s">
        <v>901</v>
      </c>
      <c r="Y17" s="23" t="s">
        <v>900</v>
      </c>
      <c r="Z17" s="22" t="s">
        <v>889</v>
      </c>
      <c r="AA17" s="22"/>
      <c r="AB17" s="23">
        <f>_xlfn.XLOOKUP(E17,nomen!A:A,nomen!C:C,0)</f>
        <v>1199</v>
      </c>
      <c r="AC17" s="23"/>
      <c r="AD17" s="27"/>
      <c r="AE17" s="27"/>
      <c r="AF17" s="27" t="s">
        <v>179</v>
      </c>
      <c r="AG17" s="30">
        <v>2.1999999999999999E-2</v>
      </c>
      <c r="AH17" s="24"/>
      <c r="AI17" s="21" t="s">
        <v>6</v>
      </c>
    </row>
    <row r="18" spans="1:35" x14ac:dyDescent="0.3">
      <c r="A18" s="22">
        <v>6</v>
      </c>
      <c r="B18" s="23">
        <v>2037427400135</v>
      </c>
      <c r="C18" s="26" t="s">
        <v>321</v>
      </c>
      <c r="D18" s="22" t="s">
        <v>322</v>
      </c>
      <c r="E18" s="22" t="s">
        <v>322</v>
      </c>
      <c r="F18" s="27" t="s">
        <v>1944</v>
      </c>
      <c r="G18" s="27"/>
      <c r="H18" s="27" t="s">
        <v>321</v>
      </c>
      <c r="I18" s="24">
        <v>304.91803278688525</v>
      </c>
      <c r="J18" s="28">
        <v>0.22</v>
      </c>
      <c r="K18" s="23">
        <v>372</v>
      </c>
      <c r="L18" s="23">
        <v>372</v>
      </c>
      <c r="M18" s="29" t="s">
        <v>309</v>
      </c>
      <c r="N18" s="23" t="s">
        <v>902</v>
      </c>
      <c r="O18" s="29" t="s">
        <v>309</v>
      </c>
      <c r="P18" s="29"/>
      <c r="Q18" s="29"/>
      <c r="R18" s="22"/>
      <c r="S18" s="23">
        <v>1</v>
      </c>
      <c r="T18" s="22"/>
      <c r="U18" s="22"/>
      <c r="V18" s="27"/>
      <c r="W18" s="23" t="s">
        <v>897</v>
      </c>
      <c r="X18" s="23" t="s">
        <v>897</v>
      </c>
      <c r="Y18" s="23" t="s">
        <v>903</v>
      </c>
      <c r="Z18" s="22" t="s">
        <v>889</v>
      </c>
      <c r="AA18" s="22"/>
      <c r="AB18" s="23">
        <f>_xlfn.XLOOKUP(E18,nomen!A:A,nomen!C:C,0)</f>
        <v>749</v>
      </c>
      <c r="AC18" s="23"/>
      <c r="AD18" s="27"/>
      <c r="AE18" s="27"/>
      <c r="AF18" s="27" t="s">
        <v>179</v>
      </c>
      <c r="AG18" s="30">
        <v>8</v>
      </c>
      <c r="AH18" s="24"/>
      <c r="AI18" s="21" t="s">
        <v>6</v>
      </c>
    </row>
    <row r="19" spans="1:35" x14ac:dyDescent="0.3">
      <c r="A19" s="22">
        <v>7</v>
      </c>
      <c r="B19" s="23">
        <v>2037427400142</v>
      </c>
      <c r="C19" s="26" t="s">
        <v>323</v>
      </c>
      <c r="D19" s="22" t="s">
        <v>324</v>
      </c>
      <c r="E19" s="22" t="s">
        <v>324</v>
      </c>
      <c r="F19" s="27" t="s">
        <v>1944</v>
      </c>
      <c r="G19" s="27"/>
      <c r="H19" s="27" t="s">
        <v>323</v>
      </c>
      <c r="I19" s="24">
        <v>181.96721311475412</v>
      </c>
      <c r="J19" s="28">
        <v>0.22</v>
      </c>
      <c r="K19" s="23">
        <v>222</v>
      </c>
      <c r="L19" s="23">
        <v>222</v>
      </c>
      <c r="M19" s="29" t="s">
        <v>309</v>
      </c>
      <c r="N19" s="23" t="s">
        <v>904</v>
      </c>
      <c r="O19" s="29" t="s">
        <v>309</v>
      </c>
      <c r="P19" s="29"/>
      <c r="Q19" s="29"/>
      <c r="R19" s="22"/>
      <c r="S19" s="23">
        <v>1</v>
      </c>
      <c r="T19" s="22"/>
      <c r="U19" s="22"/>
      <c r="V19" s="27"/>
      <c r="W19" s="23" t="s">
        <v>897</v>
      </c>
      <c r="X19" s="23" t="s">
        <v>897</v>
      </c>
      <c r="Y19" s="23" t="s">
        <v>905</v>
      </c>
      <c r="Z19" s="22" t="s">
        <v>889</v>
      </c>
      <c r="AA19" s="22"/>
      <c r="AB19" s="23">
        <f>_xlfn.XLOOKUP(E19,nomen!A:A,nomen!C:C,0)</f>
        <v>399</v>
      </c>
      <c r="AC19" s="23"/>
      <c r="AD19" s="27"/>
      <c r="AE19" s="27"/>
      <c r="AF19" s="27" t="s">
        <v>179</v>
      </c>
      <c r="AG19" s="30">
        <v>0.8</v>
      </c>
      <c r="AH19" s="24"/>
      <c r="AI19" s="21" t="s">
        <v>6</v>
      </c>
    </row>
    <row r="20" spans="1:35" x14ac:dyDescent="0.3">
      <c r="A20" s="22">
        <v>8</v>
      </c>
      <c r="B20" s="23">
        <v>4673746970348</v>
      </c>
      <c r="C20" s="26" t="s">
        <v>325</v>
      </c>
      <c r="D20" s="22" t="s">
        <v>326</v>
      </c>
      <c r="E20" s="22" t="s">
        <v>326</v>
      </c>
      <c r="F20" s="27" t="s">
        <v>1944</v>
      </c>
      <c r="G20" s="27"/>
      <c r="H20" s="27" t="s">
        <v>325</v>
      </c>
      <c r="I20" s="24">
        <v>98.360655737704917</v>
      </c>
      <c r="J20" s="28">
        <v>0.22</v>
      </c>
      <c r="K20" s="23">
        <v>120</v>
      </c>
      <c r="L20" s="23">
        <v>120</v>
      </c>
      <c r="M20" s="29" t="s">
        <v>309</v>
      </c>
      <c r="N20" s="23" t="s">
        <v>899</v>
      </c>
      <c r="O20" s="29" t="s">
        <v>309</v>
      </c>
      <c r="P20" s="29"/>
      <c r="Q20" s="29"/>
      <c r="R20" s="22"/>
      <c r="S20" s="23">
        <v>1</v>
      </c>
      <c r="T20" s="22"/>
      <c r="U20" s="22"/>
      <c r="V20" s="27"/>
      <c r="W20" s="23" t="s">
        <v>893</v>
      </c>
      <c r="X20" s="23">
        <v>80</v>
      </c>
      <c r="Y20" s="23">
        <v>80</v>
      </c>
      <c r="Z20" s="22" t="s">
        <v>889</v>
      </c>
      <c r="AA20" s="22"/>
      <c r="AB20" s="23">
        <f>_xlfn.XLOOKUP(E20,nomen!A:A,nomen!C:C,0)</f>
        <v>442</v>
      </c>
      <c r="AC20" s="23"/>
      <c r="AD20" s="27"/>
      <c r="AE20" s="27"/>
      <c r="AF20" s="27" t="s">
        <v>179</v>
      </c>
      <c r="AG20" s="30">
        <v>0.4</v>
      </c>
      <c r="AH20" s="24"/>
      <c r="AI20" s="21" t="s">
        <v>6</v>
      </c>
    </row>
    <row r="21" spans="1:35" x14ac:dyDescent="0.3">
      <c r="A21" s="22">
        <v>9</v>
      </c>
      <c r="B21" s="23">
        <v>2037427399637</v>
      </c>
      <c r="C21" s="26" t="s">
        <v>327</v>
      </c>
      <c r="D21" s="22" t="s">
        <v>328</v>
      </c>
      <c r="E21" s="22" t="s">
        <v>328</v>
      </c>
      <c r="F21" s="27" t="s">
        <v>1944</v>
      </c>
      <c r="G21" s="27"/>
      <c r="H21" s="27" t="s">
        <v>327</v>
      </c>
      <c r="I21" s="24">
        <v>284.42622950819674</v>
      </c>
      <c r="J21" s="28">
        <v>0.22</v>
      </c>
      <c r="K21" s="23">
        <v>347</v>
      </c>
      <c r="L21" s="23">
        <v>347</v>
      </c>
      <c r="M21" s="29" t="s">
        <v>309</v>
      </c>
      <c r="N21" s="23" t="s">
        <v>906</v>
      </c>
      <c r="O21" s="29" t="s">
        <v>309</v>
      </c>
      <c r="P21" s="29"/>
      <c r="Q21" s="29"/>
      <c r="R21" s="22"/>
      <c r="S21" s="23">
        <v>1</v>
      </c>
      <c r="T21" s="22"/>
      <c r="U21" s="22"/>
      <c r="V21" s="27"/>
      <c r="W21" s="23" t="s">
        <v>907</v>
      </c>
      <c r="X21" s="23" t="s">
        <v>908</v>
      </c>
      <c r="Y21" s="23" t="s">
        <v>909</v>
      </c>
      <c r="Z21" s="22" t="s">
        <v>889</v>
      </c>
      <c r="AA21" s="22"/>
      <c r="AB21" s="23">
        <f>_xlfn.XLOOKUP(E21,nomen!A:A,nomen!C:C,0)</f>
        <v>86</v>
      </c>
      <c r="AC21" s="23"/>
      <c r="AD21" s="27"/>
      <c r="AE21" s="27"/>
      <c r="AF21" s="27" t="s">
        <v>179</v>
      </c>
      <c r="AG21" s="30">
        <v>5</v>
      </c>
      <c r="AH21" s="24"/>
      <c r="AI21" s="21" t="s">
        <v>6</v>
      </c>
    </row>
    <row r="22" spans="1:35" x14ac:dyDescent="0.3">
      <c r="A22" s="22">
        <v>10</v>
      </c>
      <c r="B22" s="23">
        <v>2037427399460</v>
      </c>
      <c r="C22" s="26" t="s">
        <v>329</v>
      </c>
      <c r="D22" s="22" t="s">
        <v>330</v>
      </c>
      <c r="E22" s="22" t="s">
        <v>330</v>
      </c>
      <c r="F22" s="27" t="s">
        <v>1944</v>
      </c>
      <c r="G22" s="27"/>
      <c r="H22" s="27" t="s">
        <v>329</v>
      </c>
      <c r="I22" s="24">
        <v>213.11475409836066</v>
      </c>
      <c r="J22" s="28">
        <v>0.22</v>
      </c>
      <c r="K22" s="23">
        <v>260</v>
      </c>
      <c r="L22" s="23">
        <v>260</v>
      </c>
      <c r="M22" s="29" t="s">
        <v>309</v>
      </c>
      <c r="N22" s="23" t="s">
        <v>910</v>
      </c>
      <c r="O22" s="29" t="s">
        <v>309</v>
      </c>
      <c r="P22" s="29"/>
      <c r="Q22" s="29"/>
      <c r="R22" s="22"/>
      <c r="S22" s="23">
        <v>1</v>
      </c>
      <c r="T22" s="22"/>
      <c r="U22" s="22"/>
      <c r="V22" s="27"/>
      <c r="W22" s="23" t="s">
        <v>911</v>
      </c>
      <c r="X22" s="23" t="s">
        <v>912</v>
      </c>
      <c r="Y22" s="23" t="s">
        <v>911</v>
      </c>
      <c r="Z22" s="22" t="s">
        <v>889</v>
      </c>
      <c r="AA22" s="22"/>
      <c r="AB22" s="23">
        <f>_xlfn.XLOOKUP(E22,nomen!A:A,nomen!C:C,0)</f>
        <v>1087</v>
      </c>
      <c r="AC22" s="23"/>
      <c r="AD22" s="27"/>
      <c r="AE22" s="27"/>
      <c r="AF22" s="27" t="s">
        <v>179</v>
      </c>
      <c r="AG22" s="30">
        <v>0.192</v>
      </c>
      <c r="AH22" s="24"/>
      <c r="AI22" s="21" t="s">
        <v>6</v>
      </c>
    </row>
    <row r="23" spans="1:35" x14ac:dyDescent="0.3">
      <c r="A23" s="22">
        <v>11</v>
      </c>
      <c r="B23" s="23">
        <v>2037427399972</v>
      </c>
      <c r="C23" s="26" t="s">
        <v>331</v>
      </c>
      <c r="D23" s="22" t="s">
        <v>332</v>
      </c>
      <c r="E23" s="22" t="s">
        <v>332</v>
      </c>
      <c r="F23" s="27" t="s">
        <v>1944</v>
      </c>
      <c r="G23" s="27"/>
      <c r="H23" s="27" t="s">
        <v>331</v>
      </c>
      <c r="I23" s="24">
        <v>200.81967213114754</v>
      </c>
      <c r="J23" s="28">
        <v>0.22</v>
      </c>
      <c r="K23" s="23">
        <v>245</v>
      </c>
      <c r="L23" s="23">
        <v>245</v>
      </c>
      <c r="M23" s="29" t="s">
        <v>309</v>
      </c>
      <c r="N23" s="23" t="s">
        <v>910</v>
      </c>
      <c r="O23" s="29" t="s">
        <v>309</v>
      </c>
      <c r="P23" s="29"/>
      <c r="Q23" s="29"/>
      <c r="R23" s="22"/>
      <c r="S23" s="23">
        <v>1</v>
      </c>
      <c r="T23" s="22"/>
      <c r="U23" s="22"/>
      <c r="V23" s="27"/>
      <c r="W23" s="23" t="s">
        <v>897</v>
      </c>
      <c r="X23" s="23" t="s">
        <v>897</v>
      </c>
      <c r="Y23" s="23" t="s">
        <v>903</v>
      </c>
      <c r="Z23" s="22" t="s">
        <v>889</v>
      </c>
      <c r="AA23" s="22"/>
      <c r="AB23" s="23">
        <f>_xlfn.XLOOKUP(E23,nomen!A:A,nomen!C:C,0)</f>
        <v>348</v>
      </c>
      <c r="AC23" s="23"/>
      <c r="AD23" s="27"/>
      <c r="AE23" s="27"/>
      <c r="AF23" s="27" t="s">
        <v>179</v>
      </c>
      <c r="AG23" s="30">
        <v>8</v>
      </c>
      <c r="AH23" s="24"/>
      <c r="AI23" s="21" t="s">
        <v>6</v>
      </c>
    </row>
    <row r="24" spans="1:35" x14ac:dyDescent="0.3">
      <c r="A24" s="22">
        <v>12</v>
      </c>
      <c r="B24" s="23">
        <v>2037427399583</v>
      </c>
      <c r="C24" s="26" t="s">
        <v>333</v>
      </c>
      <c r="D24" s="22" t="s">
        <v>334</v>
      </c>
      <c r="E24" s="22" t="s">
        <v>334</v>
      </c>
      <c r="F24" s="27" t="s">
        <v>1944</v>
      </c>
      <c r="G24" s="27"/>
      <c r="H24" s="27" t="s">
        <v>333</v>
      </c>
      <c r="I24" s="24">
        <v>159.01639344262296</v>
      </c>
      <c r="J24" s="28">
        <v>0.22</v>
      </c>
      <c r="K24" s="23">
        <v>194</v>
      </c>
      <c r="L24" s="23">
        <v>194</v>
      </c>
      <c r="M24" s="29" t="s">
        <v>309</v>
      </c>
      <c r="N24" s="23" t="s">
        <v>913</v>
      </c>
      <c r="O24" s="29" t="s">
        <v>309</v>
      </c>
      <c r="P24" s="29"/>
      <c r="Q24" s="29"/>
      <c r="R24" s="22"/>
      <c r="S24" s="23">
        <v>1</v>
      </c>
      <c r="T24" s="22"/>
      <c r="U24" s="22"/>
      <c r="V24" s="27"/>
      <c r="W24" s="23" t="s">
        <v>913</v>
      </c>
      <c r="X24" s="23" t="s">
        <v>914</v>
      </c>
      <c r="Y24" s="23" t="s">
        <v>915</v>
      </c>
      <c r="Z24" s="22" t="s">
        <v>889</v>
      </c>
      <c r="AA24" s="22"/>
      <c r="AB24" s="23">
        <f>_xlfn.XLOOKUP(E24,nomen!A:A,nomen!C:C,0)</f>
        <v>3200</v>
      </c>
      <c r="AC24" s="23"/>
      <c r="AD24" s="27"/>
      <c r="AE24" s="27"/>
      <c r="AF24" s="27" t="s">
        <v>179</v>
      </c>
      <c r="AG24" s="30">
        <v>6.2E-2</v>
      </c>
      <c r="AH24" s="24"/>
      <c r="AI24" s="21" t="s">
        <v>6</v>
      </c>
    </row>
    <row r="25" spans="1:35" x14ac:dyDescent="0.3">
      <c r="A25" s="22">
        <v>13</v>
      </c>
      <c r="B25" s="23">
        <v>2037427398548</v>
      </c>
      <c r="C25" s="26" t="s">
        <v>335</v>
      </c>
      <c r="D25" s="22" t="s">
        <v>336</v>
      </c>
      <c r="E25" s="22" t="s">
        <v>336</v>
      </c>
      <c r="F25" s="27" t="s">
        <v>1944</v>
      </c>
      <c r="G25" s="27"/>
      <c r="H25" s="27" t="s">
        <v>335</v>
      </c>
      <c r="I25" s="24">
        <v>411.47540983606558</v>
      </c>
      <c r="J25" s="28">
        <v>0.22</v>
      </c>
      <c r="K25" s="23">
        <v>502</v>
      </c>
      <c r="L25" s="23">
        <v>502</v>
      </c>
      <c r="M25" s="29" t="s">
        <v>309</v>
      </c>
      <c r="N25" s="23" t="s">
        <v>916</v>
      </c>
      <c r="O25" s="29" t="s">
        <v>309</v>
      </c>
      <c r="P25" s="29"/>
      <c r="Q25" s="29"/>
      <c r="R25" s="22"/>
      <c r="S25" s="23">
        <v>1</v>
      </c>
      <c r="T25" s="22"/>
      <c r="U25" s="22"/>
      <c r="V25" s="27"/>
      <c r="W25" s="23" t="s">
        <v>917</v>
      </c>
      <c r="X25" s="23" t="s">
        <v>917</v>
      </c>
      <c r="Y25" s="23" t="s">
        <v>918</v>
      </c>
      <c r="Z25" s="22" t="s">
        <v>889</v>
      </c>
      <c r="AA25" s="22"/>
      <c r="AB25" s="23">
        <f>_xlfn.XLOOKUP(E25,nomen!A:A,nomen!C:C,0)</f>
        <v>0</v>
      </c>
      <c r="AC25" s="23"/>
      <c r="AD25" s="27"/>
      <c r="AE25" s="27"/>
      <c r="AF25" s="27" t="s">
        <v>179</v>
      </c>
      <c r="AG25" s="30">
        <v>0.20899999999999999</v>
      </c>
      <c r="AH25" s="24"/>
      <c r="AI25" s="21" t="s">
        <v>6</v>
      </c>
    </row>
    <row r="26" spans="1:35" x14ac:dyDescent="0.3">
      <c r="A26" s="22">
        <v>14</v>
      </c>
      <c r="B26" s="23">
        <v>2037427399668</v>
      </c>
      <c r="C26" s="26" t="s">
        <v>337</v>
      </c>
      <c r="D26" s="22" t="s">
        <v>338</v>
      </c>
      <c r="E26" s="22" t="s">
        <v>338</v>
      </c>
      <c r="F26" s="27" t="s">
        <v>1944</v>
      </c>
      <c r="G26" s="27"/>
      <c r="H26" s="27" t="s">
        <v>337</v>
      </c>
      <c r="I26" s="24">
        <v>439.34426229508199</v>
      </c>
      <c r="J26" s="28">
        <v>0.22</v>
      </c>
      <c r="K26" s="23">
        <v>536</v>
      </c>
      <c r="L26" s="23">
        <v>536</v>
      </c>
      <c r="M26" s="29" t="s">
        <v>309</v>
      </c>
      <c r="N26" s="23" t="s">
        <v>919</v>
      </c>
      <c r="O26" s="29" t="s">
        <v>309</v>
      </c>
      <c r="P26" s="29"/>
      <c r="Q26" s="29"/>
      <c r="R26" s="22"/>
      <c r="S26" s="23">
        <v>1</v>
      </c>
      <c r="T26" s="22"/>
      <c r="U26" s="22"/>
      <c r="V26" s="27"/>
      <c r="W26" s="23" t="s">
        <v>920</v>
      </c>
      <c r="X26" s="23" t="s">
        <v>920</v>
      </c>
      <c r="Y26" s="23" t="s">
        <v>893</v>
      </c>
      <c r="Z26" s="22" t="s">
        <v>889</v>
      </c>
      <c r="AA26" s="22"/>
      <c r="AB26" s="23">
        <f>_xlfn.XLOOKUP(E26,nomen!A:A,nomen!C:C,0)</f>
        <v>32</v>
      </c>
      <c r="AC26" s="23"/>
      <c r="AD26" s="27"/>
      <c r="AE26" s="27"/>
      <c r="AF26" s="27" t="s">
        <v>179</v>
      </c>
      <c r="AG26" s="30">
        <v>0.8</v>
      </c>
      <c r="AH26" s="24"/>
      <c r="AI26" s="21" t="s">
        <v>6</v>
      </c>
    </row>
    <row r="27" spans="1:35" x14ac:dyDescent="0.3">
      <c r="A27" s="22">
        <v>15</v>
      </c>
      <c r="B27" s="23">
        <v>2037427398593</v>
      </c>
      <c r="C27" s="26" t="s">
        <v>339</v>
      </c>
      <c r="D27" s="22" t="s">
        <v>340</v>
      </c>
      <c r="E27" s="22" t="s">
        <v>340</v>
      </c>
      <c r="F27" s="27" t="s">
        <v>1944</v>
      </c>
      <c r="G27" s="27"/>
      <c r="H27" s="27" t="s">
        <v>339</v>
      </c>
      <c r="I27" s="24">
        <v>98.360655737704917</v>
      </c>
      <c r="J27" s="28">
        <v>0.22</v>
      </c>
      <c r="K27" s="23">
        <v>120</v>
      </c>
      <c r="L27" s="23">
        <v>120</v>
      </c>
      <c r="M27" s="29" t="s">
        <v>309</v>
      </c>
      <c r="N27" s="23" t="s">
        <v>918</v>
      </c>
      <c r="O27" s="29" t="s">
        <v>309</v>
      </c>
      <c r="P27" s="29"/>
      <c r="Q27" s="29"/>
      <c r="R27" s="22"/>
      <c r="S27" s="23">
        <v>1</v>
      </c>
      <c r="T27" s="22"/>
      <c r="U27" s="22"/>
      <c r="V27" s="27"/>
      <c r="W27" s="23" t="s">
        <v>921</v>
      </c>
      <c r="X27" s="23" t="s">
        <v>922</v>
      </c>
      <c r="Y27" s="23" t="s">
        <v>921</v>
      </c>
      <c r="Z27" s="22" t="s">
        <v>889</v>
      </c>
      <c r="AA27" s="22"/>
      <c r="AB27" s="23">
        <f>_xlfn.XLOOKUP(E27,nomen!A:A,nomen!C:C,0)</f>
        <v>10959</v>
      </c>
      <c r="AC27" s="23"/>
      <c r="AD27" s="27"/>
      <c r="AE27" s="27"/>
      <c r="AF27" s="27" t="s">
        <v>179</v>
      </c>
      <c r="AG27" s="30">
        <v>1.4E-2</v>
      </c>
      <c r="AH27" s="24"/>
      <c r="AI27" s="21" t="s">
        <v>6</v>
      </c>
    </row>
    <row r="28" spans="1:35" x14ac:dyDescent="0.3">
      <c r="A28" s="22">
        <v>16</v>
      </c>
      <c r="B28" s="23">
        <v>2037427398494</v>
      </c>
      <c r="C28" s="26" t="s">
        <v>341</v>
      </c>
      <c r="D28" s="22" t="s">
        <v>342</v>
      </c>
      <c r="E28" s="22" t="s">
        <v>342</v>
      </c>
      <c r="F28" s="27" t="s">
        <v>1944</v>
      </c>
      <c r="G28" s="27"/>
      <c r="H28" s="27" t="s">
        <v>341</v>
      </c>
      <c r="I28" s="24">
        <v>305.73770491803282</v>
      </c>
      <c r="J28" s="28">
        <v>0.22</v>
      </c>
      <c r="K28" s="23">
        <v>373</v>
      </c>
      <c r="L28" s="23">
        <v>373</v>
      </c>
      <c r="M28" s="29" t="s">
        <v>309</v>
      </c>
      <c r="N28" s="23" t="s">
        <v>902</v>
      </c>
      <c r="O28" s="29" t="s">
        <v>309</v>
      </c>
      <c r="P28" s="29"/>
      <c r="Q28" s="29"/>
      <c r="R28" s="22"/>
      <c r="S28" s="23">
        <v>1</v>
      </c>
      <c r="T28" s="22"/>
      <c r="U28" s="22"/>
      <c r="V28" s="27"/>
      <c r="W28" s="23" t="s">
        <v>923</v>
      </c>
      <c r="X28" s="23" t="s">
        <v>917</v>
      </c>
      <c r="Y28" s="23" t="s">
        <v>923</v>
      </c>
      <c r="Z28" s="22" t="s">
        <v>889</v>
      </c>
      <c r="AA28" s="22"/>
      <c r="AB28" s="23">
        <f>_xlfn.XLOOKUP(E28,nomen!A:A,nomen!C:C,0)</f>
        <v>998</v>
      </c>
      <c r="AC28" s="23"/>
      <c r="AD28" s="27"/>
      <c r="AE28" s="27"/>
      <c r="AF28" s="27" t="s">
        <v>179</v>
      </c>
      <c r="AG28" s="30">
        <v>0.26500000000000001</v>
      </c>
      <c r="AH28" s="24"/>
      <c r="AI28" s="21" t="s">
        <v>6</v>
      </c>
    </row>
    <row r="29" spans="1:35" x14ac:dyDescent="0.3">
      <c r="A29" s="22">
        <v>17</v>
      </c>
      <c r="B29" s="23">
        <v>2037510035237</v>
      </c>
      <c r="C29" s="26" t="s">
        <v>343</v>
      </c>
      <c r="D29" s="22" t="s">
        <v>344</v>
      </c>
      <c r="E29" s="22" t="s">
        <v>344</v>
      </c>
      <c r="F29" s="27" t="s">
        <v>1944</v>
      </c>
      <c r="G29" s="27"/>
      <c r="H29" s="27" t="s">
        <v>343</v>
      </c>
      <c r="I29" s="24">
        <v>975.40983606557381</v>
      </c>
      <c r="J29" s="28">
        <v>0.22</v>
      </c>
      <c r="K29" s="23">
        <v>1190</v>
      </c>
      <c r="L29" s="23">
        <v>1190</v>
      </c>
      <c r="M29" s="29" t="s">
        <v>309</v>
      </c>
      <c r="N29" s="23" t="s">
        <v>924</v>
      </c>
      <c r="O29" s="29" t="s">
        <v>309</v>
      </c>
      <c r="P29" s="29"/>
      <c r="Q29" s="29"/>
      <c r="R29" s="22"/>
      <c r="S29" s="23">
        <v>1</v>
      </c>
      <c r="T29" s="22"/>
      <c r="U29" s="22"/>
      <c r="V29" s="27"/>
      <c r="W29" s="23" t="s">
        <v>925</v>
      </c>
      <c r="X29" s="23" t="s">
        <v>925</v>
      </c>
      <c r="Y29" s="23" t="s">
        <v>926</v>
      </c>
      <c r="Z29" s="22" t="s">
        <v>889</v>
      </c>
      <c r="AA29" s="22"/>
      <c r="AB29" s="23">
        <f>_xlfn.XLOOKUP(E29,nomen!A:A,nomen!C:C,0)</f>
        <v>0</v>
      </c>
      <c r="AC29" s="23"/>
      <c r="AD29" s="27"/>
      <c r="AE29" s="27"/>
      <c r="AF29" s="27" t="s">
        <v>179</v>
      </c>
      <c r="AG29" s="30">
        <v>0.85899999999999999</v>
      </c>
      <c r="AH29" s="24"/>
      <c r="AI29" s="21" t="s">
        <v>6</v>
      </c>
    </row>
    <row r="30" spans="1:35" x14ac:dyDescent="0.3">
      <c r="A30" s="22">
        <v>18</v>
      </c>
      <c r="B30" s="23">
        <v>2038480134722</v>
      </c>
      <c r="C30" s="26" t="s">
        <v>345</v>
      </c>
      <c r="D30" s="22" t="s">
        <v>346</v>
      </c>
      <c r="E30" s="22" t="s">
        <v>346</v>
      </c>
      <c r="F30" s="27" t="s">
        <v>1944</v>
      </c>
      <c r="G30" s="27"/>
      <c r="H30" s="27" t="s">
        <v>345</v>
      </c>
      <c r="I30" s="24">
        <v>283.60655737704917</v>
      </c>
      <c r="J30" s="28">
        <v>0.22</v>
      </c>
      <c r="K30" s="23">
        <v>346</v>
      </c>
      <c r="L30" s="23">
        <v>346</v>
      </c>
      <c r="M30" s="29" t="s">
        <v>309</v>
      </c>
      <c r="N30" s="23" t="s">
        <v>927</v>
      </c>
      <c r="O30" s="29" t="s">
        <v>309</v>
      </c>
      <c r="P30" s="29"/>
      <c r="Q30" s="29"/>
      <c r="R30" s="22"/>
      <c r="S30" s="23">
        <v>1</v>
      </c>
      <c r="T30" s="22"/>
      <c r="U30" s="22"/>
      <c r="V30" s="27"/>
      <c r="W30" s="23" t="s">
        <v>928</v>
      </c>
      <c r="X30" s="23" t="s">
        <v>921</v>
      </c>
      <c r="Y30" s="23" t="s">
        <v>929</v>
      </c>
      <c r="Z30" s="22" t="s">
        <v>889</v>
      </c>
      <c r="AA30" s="22"/>
      <c r="AB30" s="23">
        <f>_xlfn.XLOOKUP(E30,nomen!A:A,nomen!C:C,0)</f>
        <v>4935</v>
      </c>
      <c r="AC30" s="23"/>
      <c r="AD30" s="27"/>
      <c r="AE30" s="27"/>
      <c r="AF30" s="27" t="s">
        <v>179</v>
      </c>
      <c r="AG30" s="30">
        <v>0.1</v>
      </c>
      <c r="AH30" s="24"/>
      <c r="AI30" s="21" t="s">
        <v>6</v>
      </c>
    </row>
    <row r="31" spans="1:35" x14ac:dyDescent="0.3">
      <c r="A31" s="22">
        <v>19</v>
      </c>
      <c r="B31" s="23">
        <v>2037427398531</v>
      </c>
      <c r="C31" s="26" t="s">
        <v>347</v>
      </c>
      <c r="D31" s="22" t="s">
        <v>348</v>
      </c>
      <c r="E31" s="22" t="s">
        <v>348</v>
      </c>
      <c r="F31" s="27" t="s">
        <v>1944</v>
      </c>
      <c r="G31" s="27"/>
      <c r="H31" s="27" t="s">
        <v>347</v>
      </c>
      <c r="I31" s="24">
        <v>531.14754098360652</v>
      </c>
      <c r="J31" s="28">
        <v>0.22</v>
      </c>
      <c r="K31" s="23">
        <v>648</v>
      </c>
      <c r="L31" s="23">
        <v>648</v>
      </c>
      <c r="M31" s="29" t="s">
        <v>309</v>
      </c>
      <c r="N31" s="23" t="s">
        <v>896</v>
      </c>
      <c r="O31" s="29" t="s">
        <v>309</v>
      </c>
      <c r="P31" s="29"/>
      <c r="Q31" s="29"/>
      <c r="R31" s="22"/>
      <c r="S31" s="23">
        <v>1</v>
      </c>
      <c r="T31" s="22"/>
      <c r="U31" s="22"/>
      <c r="V31" s="27"/>
      <c r="W31" s="23" t="s">
        <v>917</v>
      </c>
      <c r="X31" s="23" t="s">
        <v>917</v>
      </c>
      <c r="Y31" s="23" t="s">
        <v>918</v>
      </c>
      <c r="Z31" s="22" t="s">
        <v>889</v>
      </c>
      <c r="AA31" s="22"/>
      <c r="AB31" s="23">
        <f>_xlfn.XLOOKUP(E31,nomen!A:A,nomen!C:C,0)</f>
        <v>0</v>
      </c>
      <c r="AC31" s="23"/>
      <c r="AD31" s="27"/>
      <c r="AE31" s="27"/>
      <c r="AF31" s="27" t="s">
        <v>179</v>
      </c>
      <c r="AG31" s="30">
        <v>0.22600000000000001</v>
      </c>
      <c r="AH31" s="24"/>
      <c r="AI31" s="21" t="s">
        <v>6</v>
      </c>
    </row>
    <row r="32" spans="1:35" x14ac:dyDescent="0.3">
      <c r="A32" s="22">
        <v>20</v>
      </c>
      <c r="B32" s="23">
        <v>2037427400395</v>
      </c>
      <c r="C32" s="26" t="s">
        <v>349</v>
      </c>
      <c r="D32" s="22" t="s">
        <v>350</v>
      </c>
      <c r="E32" s="22" t="s">
        <v>350</v>
      </c>
      <c r="F32" s="27" t="s">
        <v>1944</v>
      </c>
      <c r="G32" s="27"/>
      <c r="H32" s="27" t="s">
        <v>349</v>
      </c>
      <c r="I32" s="24">
        <v>159.01639344262296</v>
      </c>
      <c r="J32" s="28">
        <v>0.22</v>
      </c>
      <c r="K32" s="23">
        <v>194</v>
      </c>
      <c r="L32" s="23">
        <v>194</v>
      </c>
      <c r="M32" s="29" t="s">
        <v>309</v>
      </c>
      <c r="N32" s="23" t="s">
        <v>913</v>
      </c>
      <c r="O32" s="29" t="s">
        <v>309</v>
      </c>
      <c r="P32" s="29"/>
      <c r="Q32" s="29"/>
      <c r="R32" s="22"/>
      <c r="S32" s="23">
        <v>1</v>
      </c>
      <c r="T32" s="22"/>
      <c r="U32" s="22"/>
      <c r="V32" s="27"/>
      <c r="W32" s="23" t="s">
        <v>930</v>
      </c>
      <c r="X32" s="23" t="s">
        <v>931</v>
      </c>
      <c r="Y32" s="23" t="s">
        <v>930</v>
      </c>
      <c r="Z32" s="22" t="s">
        <v>889</v>
      </c>
      <c r="AA32" s="22"/>
      <c r="AB32" s="23">
        <f>_xlfn.XLOOKUP(E32,nomen!A:A,nomen!C:C,0)</f>
        <v>1477</v>
      </c>
      <c r="AC32" s="23"/>
      <c r="AD32" s="27"/>
      <c r="AE32" s="27"/>
      <c r="AF32" s="27" t="s">
        <v>179</v>
      </c>
      <c r="AG32" s="30">
        <v>2.4E-2</v>
      </c>
      <c r="AH32" s="24"/>
      <c r="AI32" s="21" t="s">
        <v>6</v>
      </c>
    </row>
    <row r="33" spans="1:35" x14ac:dyDescent="0.3">
      <c r="A33" s="22">
        <v>21</v>
      </c>
      <c r="B33" s="23">
        <v>2037427398029</v>
      </c>
      <c r="C33" s="26" t="s">
        <v>351</v>
      </c>
      <c r="D33" s="22" t="s">
        <v>352</v>
      </c>
      <c r="E33" s="22" t="s">
        <v>352</v>
      </c>
      <c r="F33" s="27" t="s">
        <v>1944</v>
      </c>
      <c r="G33" s="27"/>
      <c r="H33" s="27" t="s">
        <v>351</v>
      </c>
      <c r="I33" s="24">
        <v>200.81967213114754</v>
      </c>
      <c r="J33" s="28">
        <v>0.22</v>
      </c>
      <c r="K33" s="23">
        <v>245</v>
      </c>
      <c r="L33" s="23">
        <v>245</v>
      </c>
      <c r="M33" s="29" t="s">
        <v>309</v>
      </c>
      <c r="N33" s="23" t="s">
        <v>910</v>
      </c>
      <c r="O33" s="29" t="s">
        <v>309</v>
      </c>
      <c r="P33" s="29"/>
      <c r="Q33" s="29"/>
      <c r="R33" s="22"/>
      <c r="S33" s="23">
        <v>1</v>
      </c>
      <c r="T33" s="22"/>
      <c r="U33" s="22"/>
      <c r="V33" s="27"/>
      <c r="W33" s="23" t="s">
        <v>897</v>
      </c>
      <c r="X33" s="23" t="s">
        <v>897</v>
      </c>
      <c r="Y33" s="23" t="s">
        <v>903</v>
      </c>
      <c r="Z33" s="22" t="s">
        <v>889</v>
      </c>
      <c r="AA33" s="22"/>
      <c r="AB33" s="23">
        <f>_xlfn.XLOOKUP(E33,nomen!A:A,nomen!C:C,0)</f>
        <v>357</v>
      </c>
      <c r="AC33" s="23"/>
      <c r="AD33" s="27"/>
      <c r="AE33" s="27"/>
      <c r="AF33" s="27" t="s">
        <v>179</v>
      </c>
      <c r="AG33" s="30">
        <v>0.8</v>
      </c>
      <c r="AH33" s="24"/>
      <c r="AI33" s="21" t="s">
        <v>6</v>
      </c>
    </row>
    <row r="34" spans="1:35" x14ac:dyDescent="0.3">
      <c r="A34" s="22">
        <v>22</v>
      </c>
      <c r="B34" s="23">
        <v>2037427398609</v>
      </c>
      <c r="C34" s="26" t="s">
        <v>353</v>
      </c>
      <c r="D34" s="22" t="s">
        <v>354</v>
      </c>
      <c r="E34" s="22" t="s">
        <v>354</v>
      </c>
      <c r="F34" s="27" t="s">
        <v>1944</v>
      </c>
      <c r="G34" s="27"/>
      <c r="H34" s="27" t="s">
        <v>353</v>
      </c>
      <c r="I34" s="24">
        <v>253.27868852459017</v>
      </c>
      <c r="J34" s="28">
        <v>0.22</v>
      </c>
      <c r="K34" s="23">
        <v>309</v>
      </c>
      <c r="L34" s="23">
        <v>309</v>
      </c>
      <c r="M34" s="29" t="s">
        <v>309</v>
      </c>
      <c r="N34" s="23" t="s">
        <v>932</v>
      </c>
      <c r="O34" s="29" t="s">
        <v>309</v>
      </c>
      <c r="P34" s="29"/>
      <c r="Q34" s="29"/>
      <c r="R34" s="22"/>
      <c r="S34" s="23">
        <v>1</v>
      </c>
      <c r="T34" s="22"/>
      <c r="U34" s="22"/>
      <c r="V34" s="27"/>
      <c r="W34" s="23" t="s">
        <v>909</v>
      </c>
      <c r="X34" s="23" t="s">
        <v>933</v>
      </c>
      <c r="Y34" s="23" t="s">
        <v>909</v>
      </c>
      <c r="Z34" s="22" t="s">
        <v>889</v>
      </c>
      <c r="AA34" s="22"/>
      <c r="AB34" s="23">
        <f>_xlfn.XLOOKUP(E34,nomen!A:A,nomen!C:C,0)</f>
        <v>627</v>
      </c>
      <c r="AC34" s="23"/>
      <c r="AD34" s="27"/>
      <c r="AE34" s="27"/>
      <c r="AF34" s="27" t="s">
        <v>179</v>
      </c>
      <c r="AG34" s="30">
        <v>0.96</v>
      </c>
      <c r="AH34" s="24"/>
      <c r="AI34" s="21" t="s">
        <v>6</v>
      </c>
    </row>
    <row r="35" spans="1:35" x14ac:dyDescent="0.3">
      <c r="A35" s="22">
        <v>23</v>
      </c>
      <c r="B35" s="23">
        <v>2037427398487</v>
      </c>
      <c r="C35" s="26" t="s">
        <v>355</v>
      </c>
      <c r="D35" s="22" t="s">
        <v>356</v>
      </c>
      <c r="E35" s="22" t="s">
        <v>356</v>
      </c>
      <c r="F35" s="27" t="s">
        <v>1944</v>
      </c>
      <c r="G35" s="27"/>
      <c r="H35" s="27" t="s">
        <v>355</v>
      </c>
      <c r="I35" s="24">
        <v>610.65573770491801</v>
      </c>
      <c r="J35" s="28">
        <v>0.22</v>
      </c>
      <c r="K35" s="23">
        <v>745</v>
      </c>
      <c r="L35" s="23">
        <v>745</v>
      </c>
      <c r="M35" s="29" t="s">
        <v>309</v>
      </c>
      <c r="N35" s="23" t="s">
        <v>934</v>
      </c>
      <c r="O35" s="29" t="s">
        <v>309</v>
      </c>
      <c r="P35" s="29"/>
      <c r="Q35" s="29"/>
      <c r="R35" s="22"/>
      <c r="S35" s="23">
        <v>1</v>
      </c>
      <c r="T35" s="22"/>
      <c r="U35" s="22"/>
      <c r="V35" s="27"/>
      <c r="W35" s="23" t="s">
        <v>935</v>
      </c>
      <c r="X35" s="23" t="s">
        <v>935</v>
      </c>
      <c r="Y35" s="23" t="s">
        <v>918</v>
      </c>
      <c r="Z35" s="22" t="s">
        <v>889</v>
      </c>
      <c r="AA35" s="22"/>
      <c r="AB35" s="23">
        <f>_xlfn.XLOOKUP(E35,nomen!A:A,nomen!C:C,0)</f>
        <v>215</v>
      </c>
      <c r="AC35" s="23"/>
      <c r="AD35" s="27"/>
      <c r="AE35" s="27"/>
      <c r="AF35" s="27" t="s">
        <v>179</v>
      </c>
      <c r="AG35" s="30">
        <v>0.24</v>
      </c>
      <c r="AH35" s="24"/>
      <c r="AI35" s="21" t="s">
        <v>6</v>
      </c>
    </row>
    <row r="36" spans="1:35" x14ac:dyDescent="0.3">
      <c r="A36" s="22">
        <v>24</v>
      </c>
      <c r="B36" s="23">
        <v>2037427398579</v>
      </c>
      <c r="C36" s="26" t="s">
        <v>357</v>
      </c>
      <c r="D36" s="22" t="s">
        <v>358</v>
      </c>
      <c r="E36" s="22" t="s">
        <v>358</v>
      </c>
      <c r="F36" s="27" t="s">
        <v>1944</v>
      </c>
      <c r="G36" s="27"/>
      <c r="H36" s="27" t="s">
        <v>357</v>
      </c>
      <c r="I36" s="24">
        <v>136.88524590163934</v>
      </c>
      <c r="J36" s="28">
        <v>0.22</v>
      </c>
      <c r="K36" s="23">
        <v>167</v>
      </c>
      <c r="L36" s="23">
        <v>167</v>
      </c>
      <c r="M36" s="29" t="s">
        <v>309</v>
      </c>
      <c r="N36" s="23" t="s">
        <v>909</v>
      </c>
      <c r="O36" s="29" t="s">
        <v>309</v>
      </c>
      <c r="P36" s="29"/>
      <c r="Q36" s="29"/>
      <c r="R36" s="22"/>
      <c r="S36" s="23">
        <v>1</v>
      </c>
      <c r="T36" s="22"/>
      <c r="U36" s="22"/>
      <c r="V36" s="27"/>
      <c r="W36" s="23" t="s">
        <v>936</v>
      </c>
      <c r="X36" s="23" t="s">
        <v>937</v>
      </c>
      <c r="Y36" s="23" t="s">
        <v>938</v>
      </c>
      <c r="Z36" s="22" t="s">
        <v>889</v>
      </c>
      <c r="AA36" s="22"/>
      <c r="AB36" s="23">
        <f>_xlfn.XLOOKUP(E36,nomen!A:A,nomen!C:C,0)</f>
        <v>2067</v>
      </c>
      <c r="AC36" s="23"/>
      <c r="AD36" s="27"/>
      <c r="AE36" s="27"/>
      <c r="AF36" s="27" t="s">
        <v>179</v>
      </c>
      <c r="AG36" s="30">
        <v>1.2999999999999999E-2</v>
      </c>
      <c r="AH36" s="24"/>
      <c r="AI36" s="21" t="s">
        <v>6</v>
      </c>
    </row>
    <row r="37" spans="1:35" x14ac:dyDescent="0.3">
      <c r="A37" s="22">
        <v>25</v>
      </c>
      <c r="B37" s="23">
        <v>2037427398517</v>
      </c>
      <c r="C37" s="26" t="s">
        <v>359</v>
      </c>
      <c r="D37" s="22" t="s">
        <v>360</v>
      </c>
      <c r="E37" s="22" t="s">
        <v>360</v>
      </c>
      <c r="F37" s="27" t="s">
        <v>1944</v>
      </c>
      <c r="G37" s="27"/>
      <c r="H37" s="27" t="s">
        <v>359</v>
      </c>
      <c r="I37" s="24">
        <v>322.13114754098359</v>
      </c>
      <c r="J37" s="28">
        <v>0.22</v>
      </c>
      <c r="K37" s="23">
        <v>393</v>
      </c>
      <c r="L37" s="23">
        <v>393</v>
      </c>
      <c r="M37" s="29" t="s">
        <v>309</v>
      </c>
      <c r="N37" s="23" t="s">
        <v>902</v>
      </c>
      <c r="O37" s="29" t="s">
        <v>309</v>
      </c>
      <c r="P37" s="29"/>
      <c r="Q37" s="29"/>
      <c r="R37" s="22"/>
      <c r="S37" s="23">
        <v>1</v>
      </c>
      <c r="T37" s="22"/>
      <c r="U37" s="22"/>
      <c r="V37" s="27"/>
      <c r="W37" s="23" t="s">
        <v>894</v>
      </c>
      <c r="X37" s="23" t="s">
        <v>894</v>
      </c>
      <c r="Y37" s="23" t="s">
        <v>939</v>
      </c>
      <c r="Z37" s="22" t="s">
        <v>889</v>
      </c>
      <c r="AA37" s="22"/>
      <c r="AB37" s="23">
        <f>_xlfn.XLOOKUP(E37,nomen!A:A,nomen!C:C,0)</f>
        <v>551</v>
      </c>
      <c r="AC37" s="23"/>
      <c r="AD37" s="27"/>
      <c r="AE37" s="27"/>
      <c r="AF37" s="27" t="s">
        <v>179</v>
      </c>
      <c r="AG37" s="30">
        <v>0.252</v>
      </c>
      <c r="AH37" s="24"/>
      <c r="AI37" s="21" t="s">
        <v>6</v>
      </c>
    </row>
    <row r="38" spans="1:35" x14ac:dyDescent="0.3">
      <c r="A38" s="22">
        <v>26</v>
      </c>
      <c r="B38" s="23">
        <v>4673746973011</v>
      </c>
      <c r="C38" s="26" t="s">
        <v>361</v>
      </c>
      <c r="D38" s="22" t="s">
        <v>362</v>
      </c>
      <c r="E38" s="22" t="s">
        <v>362</v>
      </c>
      <c r="F38" s="27" t="s">
        <v>1944</v>
      </c>
      <c r="G38" s="27"/>
      <c r="H38" s="27" t="s">
        <v>361</v>
      </c>
      <c r="I38" s="24">
        <v>290.98360655737707</v>
      </c>
      <c r="J38" s="28">
        <v>0.22</v>
      </c>
      <c r="K38" s="23">
        <v>355</v>
      </c>
      <c r="L38" s="23">
        <v>355</v>
      </c>
      <c r="M38" s="29" t="s">
        <v>309</v>
      </c>
      <c r="N38" s="23" t="s">
        <v>932</v>
      </c>
      <c r="O38" s="29" t="s">
        <v>309</v>
      </c>
      <c r="P38" s="29"/>
      <c r="Q38" s="29"/>
      <c r="R38" s="22"/>
      <c r="S38" s="23">
        <v>1</v>
      </c>
      <c r="T38" s="22"/>
      <c r="U38" s="22"/>
      <c r="V38" s="27"/>
      <c r="W38" s="23" t="s">
        <v>893</v>
      </c>
      <c r="X38" s="23">
        <v>80</v>
      </c>
      <c r="Y38" s="23">
        <v>80</v>
      </c>
      <c r="Z38" s="22" t="s">
        <v>889</v>
      </c>
      <c r="AA38" s="22"/>
      <c r="AB38" s="23">
        <f>_xlfn.XLOOKUP(E38,nomen!A:A,nomen!C:C,0)</f>
        <v>20</v>
      </c>
      <c r="AC38" s="23"/>
      <c r="AD38" s="27"/>
      <c r="AE38" s="27"/>
      <c r="AF38" s="27" t="s">
        <v>179</v>
      </c>
      <c r="AG38" s="30">
        <v>0.3</v>
      </c>
      <c r="AH38" s="24"/>
      <c r="AI38" s="21" t="s">
        <v>6</v>
      </c>
    </row>
    <row r="39" spans="1:35" x14ac:dyDescent="0.3">
      <c r="A39" s="22">
        <v>27</v>
      </c>
      <c r="B39" s="23">
        <v>4673746972144</v>
      </c>
      <c r="C39" s="26" t="s">
        <v>363</v>
      </c>
      <c r="D39" s="22" t="s">
        <v>364</v>
      </c>
      <c r="E39" s="22" t="s">
        <v>364</v>
      </c>
      <c r="F39" s="27" t="s">
        <v>1944</v>
      </c>
      <c r="G39" s="27"/>
      <c r="H39" s="27" t="s">
        <v>363</v>
      </c>
      <c r="I39" s="24">
        <v>591.80327868852464</v>
      </c>
      <c r="J39" s="28">
        <v>0.22</v>
      </c>
      <c r="K39" s="23">
        <v>722</v>
      </c>
      <c r="L39" s="23">
        <v>722</v>
      </c>
      <c r="M39" s="29" t="s">
        <v>309</v>
      </c>
      <c r="N39" s="23" t="s">
        <v>940</v>
      </c>
      <c r="O39" s="29" t="s">
        <v>309</v>
      </c>
      <c r="P39" s="29"/>
      <c r="Q39" s="29"/>
      <c r="R39" s="22"/>
      <c r="S39" s="23">
        <v>1</v>
      </c>
      <c r="T39" s="22"/>
      <c r="U39" s="22"/>
      <c r="V39" s="27"/>
      <c r="W39" s="23">
        <v>100</v>
      </c>
      <c r="X39" s="23">
        <v>100</v>
      </c>
      <c r="Y39" s="23">
        <v>50</v>
      </c>
      <c r="Z39" s="22" t="s">
        <v>889</v>
      </c>
      <c r="AA39" s="22"/>
      <c r="AB39" s="23">
        <f>_xlfn.XLOOKUP(E39,nomen!A:A,nomen!C:C,0)</f>
        <v>256</v>
      </c>
      <c r="AC39" s="23"/>
      <c r="AD39" s="27"/>
      <c r="AE39" s="27"/>
      <c r="AF39" s="27" t="s">
        <v>179</v>
      </c>
      <c r="AG39" s="30">
        <v>0.2</v>
      </c>
      <c r="AH39" s="24"/>
      <c r="AI39" s="21" t="s">
        <v>6</v>
      </c>
    </row>
    <row r="40" spans="1:35" x14ac:dyDescent="0.3">
      <c r="A40" s="22">
        <v>28</v>
      </c>
      <c r="B40" s="23">
        <v>4673746970454</v>
      </c>
      <c r="C40" s="26" t="s">
        <v>365</v>
      </c>
      <c r="D40" s="22" t="s">
        <v>366</v>
      </c>
      <c r="E40" s="22" t="s">
        <v>366</v>
      </c>
      <c r="F40" s="27" t="s">
        <v>1944</v>
      </c>
      <c r="G40" s="27"/>
      <c r="H40" s="27" t="s">
        <v>365</v>
      </c>
      <c r="I40" s="24">
        <v>386.06557377049182</v>
      </c>
      <c r="J40" s="28">
        <v>0.22</v>
      </c>
      <c r="K40" s="23">
        <v>471</v>
      </c>
      <c r="L40" s="23">
        <v>471</v>
      </c>
      <c r="M40" s="29" t="s">
        <v>309</v>
      </c>
      <c r="N40" s="23" t="s">
        <v>941</v>
      </c>
      <c r="O40" s="29" t="s">
        <v>309</v>
      </c>
      <c r="P40" s="29"/>
      <c r="Q40" s="29"/>
      <c r="R40" s="22"/>
      <c r="S40" s="23">
        <v>1</v>
      </c>
      <c r="T40" s="22"/>
      <c r="U40" s="22"/>
      <c r="V40" s="27"/>
      <c r="W40" s="23" t="s">
        <v>897</v>
      </c>
      <c r="X40" s="23" t="s">
        <v>897</v>
      </c>
      <c r="Y40" s="23" t="s">
        <v>903</v>
      </c>
      <c r="Z40" s="22" t="s">
        <v>889</v>
      </c>
      <c r="AA40" s="22"/>
      <c r="AB40" s="23">
        <f>_xlfn.XLOOKUP(E40,nomen!A:A,nomen!C:C,0)</f>
        <v>379</v>
      </c>
      <c r="AC40" s="23"/>
      <c r="AD40" s="27"/>
      <c r="AE40" s="27"/>
      <c r="AF40" s="27" t="s">
        <v>179</v>
      </c>
      <c r="AG40" s="30">
        <v>0.8</v>
      </c>
      <c r="AH40" s="24"/>
      <c r="AI40" s="21" t="s">
        <v>6</v>
      </c>
    </row>
    <row r="41" spans="1:35" x14ac:dyDescent="0.3">
      <c r="A41" s="22">
        <v>29</v>
      </c>
      <c r="B41" s="23">
        <v>4652245476742</v>
      </c>
      <c r="C41" s="26" t="s">
        <v>367</v>
      </c>
      <c r="D41" s="22" t="s">
        <v>368</v>
      </c>
      <c r="E41" s="22" t="s">
        <v>368</v>
      </c>
      <c r="F41" s="27" t="s">
        <v>1944</v>
      </c>
      <c r="G41" s="27"/>
      <c r="H41" s="27" t="s">
        <v>367</v>
      </c>
      <c r="I41" s="24">
        <v>200.81967213114754</v>
      </c>
      <c r="J41" s="28">
        <v>0.22</v>
      </c>
      <c r="K41" s="23">
        <v>245</v>
      </c>
      <c r="L41" s="23">
        <v>245</v>
      </c>
      <c r="M41" s="29" t="s">
        <v>309</v>
      </c>
      <c r="N41" s="23" t="s">
        <v>910</v>
      </c>
      <c r="O41" s="29" t="s">
        <v>309</v>
      </c>
      <c r="P41" s="29"/>
      <c r="Q41" s="29"/>
      <c r="R41" s="22"/>
      <c r="S41" s="23">
        <v>1</v>
      </c>
      <c r="T41" s="22"/>
      <c r="U41" s="22"/>
      <c r="V41" s="27"/>
      <c r="W41" s="23" t="s">
        <v>897</v>
      </c>
      <c r="X41" s="23" t="s">
        <v>897</v>
      </c>
      <c r="Y41" s="23" t="s">
        <v>903</v>
      </c>
      <c r="Z41" s="22" t="s">
        <v>889</v>
      </c>
      <c r="AA41" s="22"/>
      <c r="AB41" s="23">
        <f>_xlfn.XLOOKUP(E41,nomen!A:A,nomen!C:C,0)</f>
        <v>848</v>
      </c>
      <c r="AC41" s="23"/>
      <c r="AD41" s="27"/>
      <c r="AE41" s="27"/>
      <c r="AF41" s="27" t="s">
        <v>179</v>
      </c>
      <c r="AG41" s="30">
        <v>0.9</v>
      </c>
      <c r="AH41" s="24"/>
      <c r="AI41" s="21" t="s">
        <v>6</v>
      </c>
    </row>
    <row r="42" spans="1:35" x14ac:dyDescent="0.3">
      <c r="A42" s="22">
        <v>30</v>
      </c>
      <c r="B42" s="23">
        <v>2038480134715</v>
      </c>
      <c r="C42" s="26" t="s">
        <v>369</v>
      </c>
      <c r="D42" s="22" t="s">
        <v>370</v>
      </c>
      <c r="E42" s="22" t="s">
        <v>370</v>
      </c>
      <c r="F42" s="27" t="s">
        <v>1944</v>
      </c>
      <c r="G42" s="27"/>
      <c r="H42" s="27" t="s">
        <v>369</v>
      </c>
      <c r="I42" s="24">
        <v>649.18032786885249</v>
      </c>
      <c r="J42" s="28">
        <v>0.22</v>
      </c>
      <c r="K42" s="23">
        <v>792</v>
      </c>
      <c r="L42" s="23">
        <v>792</v>
      </c>
      <c r="M42" s="29" t="s">
        <v>309</v>
      </c>
      <c r="N42" s="23" t="s">
        <v>934</v>
      </c>
      <c r="O42" s="29" t="s">
        <v>309</v>
      </c>
      <c r="P42" s="29"/>
      <c r="Q42" s="29"/>
      <c r="R42" s="22"/>
      <c r="S42" s="23">
        <v>1</v>
      </c>
      <c r="T42" s="22"/>
      <c r="U42" s="22"/>
      <c r="V42" s="27"/>
      <c r="W42" s="23" t="s">
        <v>917</v>
      </c>
      <c r="X42" s="23" t="s">
        <v>917</v>
      </c>
      <c r="Y42" s="23" t="s">
        <v>918</v>
      </c>
      <c r="Z42" s="22" t="s">
        <v>889</v>
      </c>
      <c r="AA42" s="22"/>
      <c r="AB42" s="23">
        <f>_xlfn.XLOOKUP(E42,nomen!A:A,nomen!C:C,0)</f>
        <v>165</v>
      </c>
      <c r="AC42" s="23"/>
      <c r="AD42" s="27"/>
      <c r="AE42" s="27"/>
      <c r="AF42" s="27" t="s">
        <v>179</v>
      </c>
      <c r="AG42" s="30">
        <v>0.5</v>
      </c>
      <c r="AH42" s="24"/>
      <c r="AI42" s="21"/>
    </row>
    <row r="43" spans="1:35" x14ac:dyDescent="0.3">
      <c r="A43" s="22">
        <v>31</v>
      </c>
      <c r="B43" s="23">
        <v>2037427399361</v>
      </c>
      <c r="C43" s="26" t="s">
        <v>371</v>
      </c>
      <c r="D43" s="22" t="s">
        <v>372</v>
      </c>
      <c r="E43" s="22" t="s">
        <v>372</v>
      </c>
      <c r="F43" s="27" t="s">
        <v>1944</v>
      </c>
      <c r="G43" s="27"/>
      <c r="H43" s="27" t="s">
        <v>371</v>
      </c>
      <c r="I43" s="24">
        <v>1068.032786885246</v>
      </c>
      <c r="J43" s="28">
        <v>0.22</v>
      </c>
      <c r="K43" s="23">
        <v>1303</v>
      </c>
      <c r="L43" s="23">
        <v>1303</v>
      </c>
      <c r="M43" s="29" t="s">
        <v>309</v>
      </c>
      <c r="N43" s="23" t="s">
        <v>924</v>
      </c>
      <c r="O43" s="29" t="s">
        <v>309</v>
      </c>
      <c r="P43" s="29"/>
      <c r="Q43" s="29"/>
      <c r="R43" s="22"/>
      <c r="S43" s="23">
        <v>1</v>
      </c>
      <c r="T43" s="22"/>
      <c r="U43" s="22"/>
      <c r="V43" s="27"/>
      <c r="W43" s="23" t="s">
        <v>907</v>
      </c>
      <c r="X43" s="23" t="s">
        <v>908</v>
      </c>
      <c r="Y43" s="23" t="s">
        <v>909</v>
      </c>
      <c r="Z43" s="22" t="s">
        <v>889</v>
      </c>
      <c r="AA43" s="22"/>
      <c r="AB43" s="23">
        <f>_xlfn.XLOOKUP(E43,nomen!A:A,nomen!C:C,0)</f>
        <v>74</v>
      </c>
      <c r="AC43" s="23"/>
      <c r="AD43" s="27"/>
      <c r="AE43" s="27"/>
      <c r="AF43" s="27" t="s">
        <v>179</v>
      </c>
      <c r="AG43" s="30">
        <v>5</v>
      </c>
      <c r="AH43" s="24"/>
      <c r="AI43" s="21"/>
    </row>
    <row r="44" spans="1:35" x14ac:dyDescent="0.3">
      <c r="A44" s="22">
        <v>32</v>
      </c>
      <c r="B44" s="23">
        <v>4673746971048</v>
      </c>
      <c r="C44" s="26" t="s">
        <v>373</v>
      </c>
      <c r="D44" s="22" t="s">
        <v>374</v>
      </c>
      <c r="E44" s="22" t="s">
        <v>374</v>
      </c>
      <c r="F44" s="27" t="s">
        <v>1944</v>
      </c>
      <c r="G44" s="27"/>
      <c r="H44" s="27" t="s">
        <v>373</v>
      </c>
      <c r="I44" s="24">
        <v>304.09836065573774</v>
      </c>
      <c r="J44" s="28">
        <v>0.22</v>
      </c>
      <c r="K44" s="23">
        <v>371</v>
      </c>
      <c r="L44" s="23">
        <v>371</v>
      </c>
      <c r="M44" s="29" t="s">
        <v>309</v>
      </c>
      <c r="N44" s="23" t="s">
        <v>902</v>
      </c>
      <c r="O44" s="29" t="s">
        <v>309</v>
      </c>
      <c r="P44" s="29"/>
      <c r="Q44" s="29"/>
      <c r="R44" s="22"/>
      <c r="S44" s="23">
        <v>1</v>
      </c>
      <c r="T44" s="22"/>
      <c r="U44" s="22"/>
      <c r="V44" s="27"/>
      <c r="W44" s="23" t="s">
        <v>897</v>
      </c>
      <c r="X44" s="23" t="s">
        <v>897</v>
      </c>
      <c r="Y44" s="23" t="s">
        <v>903</v>
      </c>
      <c r="Z44" s="22" t="s">
        <v>889</v>
      </c>
      <c r="AA44" s="22"/>
      <c r="AB44" s="23">
        <f>_xlfn.XLOOKUP(E44,nomen!A:A,nomen!C:C,0)</f>
        <v>588</v>
      </c>
      <c r="AC44" s="23"/>
      <c r="AD44" s="27"/>
      <c r="AE44" s="27"/>
      <c r="AF44" s="27" t="s">
        <v>179</v>
      </c>
      <c r="AG44" s="30">
        <v>0.9</v>
      </c>
      <c r="AH44" s="24"/>
      <c r="AI44" s="21"/>
    </row>
    <row r="45" spans="1:35" x14ac:dyDescent="0.3">
      <c r="A45" s="22">
        <v>33</v>
      </c>
      <c r="B45" s="23">
        <v>2037427400111</v>
      </c>
      <c r="C45" s="26" t="s">
        <v>375</v>
      </c>
      <c r="D45" s="22" t="s">
        <v>376</v>
      </c>
      <c r="E45" s="22" t="s">
        <v>376</v>
      </c>
      <c r="F45" s="27" t="s">
        <v>1944</v>
      </c>
      <c r="G45" s="27"/>
      <c r="H45" s="27" t="s">
        <v>375</v>
      </c>
      <c r="I45" s="24">
        <v>129.50819672131149</v>
      </c>
      <c r="J45" s="28">
        <v>0.22</v>
      </c>
      <c r="K45" s="23">
        <v>158</v>
      </c>
      <c r="L45" s="23">
        <v>158</v>
      </c>
      <c r="M45" s="29" t="s">
        <v>309</v>
      </c>
      <c r="N45" s="23" t="s">
        <v>909</v>
      </c>
      <c r="O45" s="29" t="s">
        <v>309</v>
      </c>
      <c r="P45" s="29"/>
      <c r="Q45" s="29"/>
      <c r="R45" s="22"/>
      <c r="S45" s="23">
        <v>1</v>
      </c>
      <c r="T45" s="22"/>
      <c r="U45" s="22"/>
      <c r="V45" s="27"/>
      <c r="W45" s="23" t="s">
        <v>897</v>
      </c>
      <c r="X45" s="23" t="s">
        <v>897</v>
      </c>
      <c r="Y45" s="23" t="s">
        <v>898</v>
      </c>
      <c r="Z45" s="22" t="s">
        <v>889</v>
      </c>
      <c r="AA45" s="22"/>
      <c r="AB45" s="23">
        <f>_xlfn.XLOOKUP(E45,nomen!A:A,nomen!C:C,0)</f>
        <v>566</v>
      </c>
      <c r="AC45" s="23"/>
      <c r="AD45" s="27"/>
      <c r="AE45" s="27"/>
      <c r="AF45" s="27" t="s">
        <v>179</v>
      </c>
      <c r="AG45" s="30">
        <v>0.8</v>
      </c>
      <c r="AH45" s="24"/>
      <c r="AI45" s="21"/>
    </row>
    <row r="46" spans="1:35" x14ac:dyDescent="0.3">
      <c r="A46" s="22">
        <v>34</v>
      </c>
      <c r="B46" s="23">
        <v>2000000000817</v>
      </c>
      <c r="C46" s="26" t="s">
        <v>377</v>
      </c>
      <c r="D46" s="22" t="s">
        <v>378</v>
      </c>
      <c r="E46" s="22" t="s">
        <v>378</v>
      </c>
      <c r="F46" s="27" t="s">
        <v>1944</v>
      </c>
      <c r="G46" s="27"/>
      <c r="H46" s="27" t="s">
        <v>377</v>
      </c>
      <c r="I46" s="24">
        <v>439.34426229508199</v>
      </c>
      <c r="J46" s="28">
        <v>0.22</v>
      </c>
      <c r="K46" s="23">
        <v>536</v>
      </c>
      <c r="L46" s="23">
        <v>536</v>
      </c>
      <c r="M46" s="29" t="s">
        <v>309</v>
      </c>
      <c r="N46" s="23" t="s">
        <v>919</v>
      </c>
      <c r="O46" s="29" t="s">
        <v>309</v>
      </c>
      <c r="P46" s="29"/>
      <c r="Q46" s="29"/>
      <c r="R46" s="22"/>
      <c r="S46" s="23">
        <v>1</v>
      </c>
      <c r="T46" s="22"/>
      <c r="U46" s="22"/>
      <c r="V46" s="27"/>
      <c r="W46" s="23" t="s">
        <v>897</v>
      </c>
      <c r="X46" s="23" t="s">
        <v>897</v>
      </c>
      <c r="Y46" s="23" t="s">
        <v>903</v>
      </c>
      <c r="Z46" s="22" t="s">
        <v>889</v>
      </c>
      <c r="AA46" s="22"/>
      <c r="AB46" s="23">
        <f>_xlfn.XLOOKUP(E46,nomen!A:A,nomen!C:C,0)</f>
        <v>879</v>
      </c>
      <c r="AC46" s="23"/>
      <c r="AD46" s="27"/>
      <c r="AE46" s="27"/>
      <c r="AF46" s="27" t="s">
        <v>179</v>
      </c>
      <c r="AG46" s="30">
        <v>8</v>
      </c>
      <c r="AH46" s="24"/>
      <c r="AI46" s="21"/>
    </row>
    <row r="47" spans="1:35" x14ac:dyDescent="0.3">
      <c r="A47" s="22">
        <v>35</v>
      </c>
      <c r="B47" s="23">
        <v>2037427398098</v>
      </c>
      <c r="C47" s="26" t="s">
        <v>379</v>
      </c>
      <c r="D47" s="22" t="s">
        <v>380</v>
      </c>
      <c r="E47" s="22" t="s">
        <v>380</v>
      </c>
      <c r="F47" s="27" t="s">
        <v>1944</v>
      </c>
      <c r="G47" s="27"/>
      <c r="H47" s="27" t="s">
        <v>379</v>
      </c>
      <c r="I47" s="24">
        <v>267.21311475409834</v>
      </c>
      <c r="J47" s="28">
        <v>0.22</v>
      </c>
      <c r="K47" s="23">
        <v>326</v>
      </c>
      <c r="L47" s="23">
        <v>326</v>
      </c>
      <c r="M47" s="29" t="s">
        <v>309</v>
      </c>
      <c r="N47" s="23" t="s">
        <v>932</v>
      </c>
      <c r="O47" s="29" t="s">
        <v>309</v>
      </c>
      <c r="P47" s="29"/>
      <c r="Q47" s="29"/>
      <c r="R47" s="22"/>
      <c r="S47" s="23">
        <v>1</v>
      </c>
      <c r="T47" s="22"/>
      <c r="U47" s="22"/>
      <c r="V47" s="27"/>
      <c r="W47" s="23" t="s">
        <v>908</v>
      </c>
      <c r="X47" s="23" t="s">
        <v>908</v>
      </c>
      <c r="Y47" s="23" t="s">
        <v>942</v>
      </c>
      <c r="Z47" s="22" t="s">
        <v>889</v>
      </c>
      <c r="AA47" s="22"/>
      <c r="AB47" s="23">
        <f>_xlfn.XLOOKUP(E47,nomen!A:A,nomen!C:C,0)</f>
        <v>839</v>
      </c>
      <c r="AC47" s="23"/>
      <c r="AD47" s="27"/>
      <c r="AE47" s="27"/>
      <c r="AF47" s="27" t="s">
        <v>179</v>
      </c>
      <c r="AG47" s="30">
        <v>2.4E-2</v>
      </c>
      <c r="AH47" s="24"/>
      <c r="AI47" s="21"/>
    </row>
    <row r="48" spans="1:35" x14ac:dyDescent="0.3">
      <c r="A48" s="22">
        <v>36</v>
      </c>
      <c r="B48" s="23">
        <v>4673746971277</v>
      </c>
      <c r="C48" s="26" t="s">
        <v>381</v>
      </c>
      <c r="D48" s="22" t="s">
        <v>382</v>
      </c>
      <c r="E48" s="22" t="s">
        <v>382</v>
      </c>
      <c r="F48" s="27" t="s">
        <v>1944</v>
      </c>
      <c r="G48" s="27"/>
      <c r="H48" s="27" t="s">
        <v>381</v>
      </c>
      <c r="I48" s="24">
        <v>231.14754098360658</v>
      </c>
      <c r="J48" s="28">
        <v>0.22</v>
      </c>
      <c r="K48" s="23">
        <v>282</v>
      </c>
      <c r="L48" s="23">
        <v>282</v>
      </c>
      <c r="M48" s="29" t="s">
        <v>309</v>
      </c>
      <c r="N48" s="23" t="s">
        <v>943</v>
      </c>
      <c r="O48" s="29" t="s">
        <v>309</v>
      </c>
      <c r="P48" s="29"/>
      <c r="Q48" s="29"/>
      <c r="R48" s="22"/>
      <c r="S48" s="23">
        <v>1</v>
      </c>
      <c r="T48" s="22"/>
      <c r="U48" s="22"/>
      <c r="V48" s="27"/>
      <c r="W48" s="23">
        <v>100</v>
      </c>
      <c r="X48" s="23">
        <v>100</v>
      </c>
      <c r="Y48" s="23">
        <v>50</v>
      </c>
      <c r="Z48" s="22" t="s">
        <v>889</v>
      </c>
      <c r="AA48" s="22"/>
      <c r="AB48" s="23">
        <f>_xlfn.XLOOKUP(E48,nomen!A:A,nomen!C:C,0)</f>
        <v>0</v>
      </c>
      <c r="AC48" s="23"/>
      <c r="AD48" s="27"/>
      <c r="AE48" s="27"/>
      <c r="AF48" s="27" t="s">
        <v>179</v>
      </c>
      <c r="AG48" s="30">
        <v>0.1</v>
      </c>
      <c r="AH48" s="24"/>
      <c r="AI48" s="21"/>
    </row>
    <row r="49" spans="1:35" x14ac:dyDescent="0.3">
      <c r="A49" s="22">
        <v>37</v>
      </c>
      <c r="B49" s="23">
        <v>2037427400265</v>
      </c>
      <c r="C49" s="26" t="s">
        <v>383</v>
      </c>
      <c r="D49" s="22" t="s">
        <v>384</v>
      </c>
      <c r="E49" s="22" t="s">
        <v>384</v>
      </c>
      <c r="F49" s="27" t="s">
        <v>1944</v>
      </c>
      <c r="G49" s="27"/>
      <c r="H49" s="27" t="s">
        <v>383</v>
      </c>
      <c r="I49" s="24">
        <v>149.18032786885246</v>
      </c>
      <c r="J49" s="28">
        <v>0.22</v>
      </c>
      <c r="K49" s="23">
        <v>182</v>
      </c>
      <c r="L49" s="23">
        <v>182</v>
      </c>
      <c r="M49" s="29" t="s">
        <v>309</v>
      </c>
      <c r="N49" s="23" t="s">
        <v>909</v>
      </c>
      <c r="O49" s="29" t="s">
        <v>309</v>
      </c>
      <c r="P49" s="29"/>
      <c r="Q49" s="29"/>
      <c r="R49" s="22"/>
      <c r="S49" s="23">
        <v>1</v>
      </c>
      <c r="T49" s="22"/>
      <c r="U49" s="22"/>
      <c r="V49" s="27"/>
      <c r="W49" s="23" t="s">
        <v>897</v>
      </c>
      <c r="X49" s="23" t="s">
        <v>897</v>
      </c>
      <c r="Y49" s="23" t="s">
        <v>909</v>
      </c>
      <c r="Z49" s="22" t="s">
        <v>889</v>
      </c>
      <c r="AA49" s="22"/>
      <c r="AB49" s="23">
        <f>_xlfn.XLOOKUP(E49,nomen!A:A,nomen!C:C,0)</f>
        <v>0</v>
      </c>
      <c r="AC49" s="23"/>
      <c r="AD49" s="27"/>
      <c r="AE49" s="27"/>
      <c r="AF49" s="27" t="s">
        <v>179</v>
      </c>
      <c r="AG49" s="30">
        <v>1</v>
      </c>
      <c r="AH49" s="24"/>
      <c r="AI49" s="21"/>
    </row>
    <row r="50" spans="1:35" x14ac:dyDescent="0.3">
      <c r="A50" s="22">
        <v>38</v>
      </c>
      <c r="B50" s="23">
        <v>4673746972779</v>
      </c>
      <c r="C50" s="26" t="s">
        <v>385</v>
      </c>
      <c r="D50" s="22" t="s">
        <v>386</v>
      </c>
      <c r="E50" s="22" t="s">
        <v>386</v>
      </c>
      <c r="F50" s="27" t="s">
        <v>1944</v>
      </c>
      <c r="G50" s="27"/>
      <c r="H50" s="27" t="s">
        <v>385</v>
      </c>
      <c r="I50" s="24">
        <v>537.70491803278685</v>
      </c>
      <c r="J50" s="28">
        <v>0.22</v>
      </c>
      <c r="K50" s="23">
        <v>656</v>
      </c>
      <c r="L50" s="23">
        <v>656</v>
      </c>
      <c r="M50" s="29" t="s">
        <v>309</v>
      </c>
      <c r="N50" s="23" t="s">
        <v>944</v>
      </c>
      <c r="O50" s="29" t="s">
        <v>309</v>
      </c>
      <c r="P50" s="29"/>
      <c r="Q50" s="29"/>
      <c r="R50" s="22"/>
      <c r="S50" s="23">
        <v>1</v>
      </c>
      <c r="T50" s="22"/>
      <c r="U50" s="22"/>
      <c r="V50" s="27"/>
      <c r="W50" s="23">
        <v>100</v>
      </c>
      <c r="X50" s="23">
        <v>100</v>
      </c>
      <c r="Y50" s="23">
        <v>50</v>
      </c>
      <c r="Z50" s="22" t="s">
        <v>889</v>
      </c>
      <c r="AA50" s="22"/>
      <c r="AB50" s="23">
        <f>_xlfn.XLOOKUP(E50,nomen!A:A,nomen!C:C,0)</f>
        <v>111</v>
      </c>
      <c r="AC50" s="23"/>
      <c r="AD50" s="27"/>
      <c r="AE50" s="27"/>
      <c r="AF50" s="27" t="s">
        <v>179</v>
      </c>
      <c r="AG50" s="30">
        <v>0.1</v>
      </c>
      <c r="AH50" s="24"/>
      <c r="AI50" s="21"/>
    </row>
    <row r="51" spans="1:35" x14ac:dyDescent="0.3">
      <c r="A51" s="22">
        <v>39</v>
      </c>
      <c r="B51" s="23">
        <v>4673746970898</v>
      </c>
      <c r="C51" s="26" t="s">
        <v>387</v>
      </c>
      <c r="D51" s="22" t="s">
        <v>388</v>
      </c>
      <c r="E51" s="22" t="s">
        <v>388</v>
      </c>
      <c r="F51" s="27" t="s">
        <v>1944</v>
      </c>
      <c r="G51" s="27"/>
      <c r="H51" s="27" t="s">
        <v>387</v>
      </c>
      <c r="I51" s="24">
        <v>82.786885245901644</v>
      </c>
      <c r="J51" s="28">
        <v>0.22</v>
      </c>
      <c r="K51" s="23">
        <v>101</v>
      </c>
      <c r="L51" s="23">
        <v>101</v>
      </c>
      <c r="M51" s="29" t="s">
        <v>309</v>
      </c>
      <c r="N51" s="23" t="s">
        <v>923</v>
      </c>
      <c r="O51" s="29" t="s">
        <v>309</v>
      </c>
      <c r="P51" s="29"/>
      <c r="Q51" s="29"/>
      <c r="R51" s="22"/>
      <c r="S51" s="23">
        <v>1</v>
      </c>
      <c r="T51" s="22"/>
      <c r="U51" s="22"/>
      <c r="V51" s="27"/>
      <c r="W51" s="23" t="s">
        <v>897</v>
      </c>
      <c r="X51" s="23" t="s">
        <v>897</v>
      </c>
      <c r="Y51" s="23" t="s">
        <v>903</v>
      </c>
      <c r="Z51" s="22" t="s">
        <v>889</v>
      </c>
      <c r="AA51" s="22"/>
      <c r="AB51" s="23">
        <f>_xlfn.XLOOKUP(E51,nomen!A:A,nomen!C:C,0)</f>
        <v>641</v>
      </c>
      <c r="AC51" s="23"/>
      <c r="AD51" s="27"/>
      <c r="AE51" s="27"/>
      <c r="AF51" s="27" t="s">
        <v>179</v>
      </c>
      <c r="AG51" s="30">
        <v>0.3</v>
      </c>
      <c r="AH51" s="24"/>
      <c r="AI51" s="21"/>
    </row>
    <row r="52" spans="1:35" x14ac:dyDescent="0.3">
      <c r="A52" s="22">
        <v>40</v>
      </c>
      <c r="B52" s="23">
        <v>2037427400173</v>
      </c>
      <c r="C52" s="26" t="s">
        <v>389</v>
      </c>
      <c r="D52" s="22" t="s">
        <v>390</v>
      </c>
      <c r="E52" s="22" t="s">
        <v>390</v>
      </c>
      <c r="F52" s="27" t="s">
        <v>1944</v>
      </c>
      <c r="G52" s="27"/>
      <c r="H52" s="27" t="s">
        <v>389</v>
      </c>
      <c r="I52" s="24">
        <v>253.27868852459017</v>
      </c>
      <c r="J52" s="28">
        <v>0.22</v>
      </c>
      <c r="K52" s="23">
        <v>309</v>
      </c>
      <c r="L52" s="23">
        <v>309</v>
      </c>
      <c r="M52" s="29" t="s">
        <v>309</v>
      </c>
      <c r="N52" s="23" t="s">
        <v>932</v>
      </c>
      <c r="O52" s="29" t="s">
        <v>309</v>
      </c>
      <c r="P52" s="29"/>
      <c r="Q52" s="29"/>
      <c r="R52" s="22"/>
      <c r="S52" s="23">
        <v>1</v>
      </c>
      <c r="T52" s="22"/>
      <c r="U52" s="22"/>
      <c r="V52" s="27"/>
      <c r="W52" s="23" t="s">
        <v>897</v>
      </c>
      <c r="X52" s="23" t="s">
        <v>897</v>
      </c>
      <c r="Y52" s="23" t="s">
        <v>903</v>
      </c>
      <c r="Z52" s="22" t="s">
        <v>889</v>
      </c>
      <c r="AA52" s="22"/>
      <c r="AB52" s="23">
        <f>_xlfn.XLOOKUP(E52,nomen!A:A,nomen!C:C,0)</f>
        <v>401</v>
      </c>
      <c r="AC52" s="23"/>
      <c r="AD52" s="27"/>
      <c r="AE52" s="27"/>
      <c r="AF52" s="27" t="s">
        <v>179</v>
      </c>
      <c r="AG52" s="30">
        <v>0.8</v>
      </c>
      <c r="AH52" s="24"/>
      <c r="AI52" s="21"/>
    </row>
    <row r="53" spans="1:35" x14ac:dyDescent="0.3">
      <c r="A53" s="22">
        <v>41</v>
      </c>
      <c r="B53" s="23">
        <v>4673746970034</v>
      </c>
      <c r="C53" s="26" t="s">
        <v>391</v>
      </c>
      <c r="D53" s="22" t="s">
        <v>392</v>
      </c>
      <c r="E53" s="22" t="s">
        <v>392</v>
      </c>
      <c r="F53" s="27" t="s">
        <v>1944</v>
      </c>
      <c r="G53" s="27"/>
      <c r="H53" s="27" t="s">
        <v>391</v>
      </c>
      <c r="I53" s="24">
        <v>171.31147540983608</v>
      </c>
      <c r="J53" s="28">
        <v>0.22</v>
      </c>
      <c r="K53" s="23">
        <v>209</v>
      </c>
      <c r="L53" s="23">
        <v>209</v>
      </c>
      <c r="M53" s="29" t="s">
        <v>309</v>
      </c>
      <c r="N53" s="23" t="s">
        <v>945</v>
      </c>
      <c r="O53" s="29" t="s">
        <v>309</v>
      </c>
      <c r="P53" s="29"/>
      <c r="Q53" s="29"/>
      <c r="R53" s="22"/>
      <c r="S53" s="23">
        <v>1</v>
      </c>
      <c r="T53" s="22"/>
      <c r="U53" s="22"/>
      <c r="V53" s="27"/>
      <c r="W53" s="23" t="s">
        <v>897</v>
      </c>
      <c r="X53" s="23" t="s">
        <v>897</v>
      </c>
      <c r="Y53" s="23" t="s">
        <v>903</v>
      </c>
      <c r="Z53" s="22" t="s">
        <v>889</v>
      </c>
      <c r="AA53" s="22"/>
      <c r="AB53" s="23">
        <f>_xlfn.XLOOKUP(E53,nomen!A:A,nomen!C:C,0)</f>
        <v>0</v>
      </c>
      <c r="AC53" s="23"/>
      <c r="AD53" s="27"/>
      <c r="AE53" s="27"/>
      <c r="AF53" s="27" t="s">
        <v>179</v>
      </c>
      <c r="AG53" s="30">
        <v>0.8</v>
      </c>
      <c r="AH53" s="24"/>
      <c r="AI53" s="21"/>
    </row>
    <row r="54" spans="1:35" x14ac:dyDescent="0.3">
      <c r="A54" s="22">
        <v>42</v>
      </c>
      <c r="B54" s="23">
        <v>2037427398869</v>
      </c>
      <c r="C54" s="26" t="s">
        <v>393</v>
      </c>
      <c r="D54" s="22" t="s">
        <v>394</v>
      </c>
      <c r="E54" s="22" t="s">
        <v>394</v>
      </c>
      <c r="F54" s="27" t="s">
        <v>1944</v>
      </c>
      <c r="G54" s="27"/>
      <c r="H54" s="27" t="s">
        <v>393</v>
      </c>
      <c r="I54" s="24">
        <v>2976.2295081967213</v>
      </c>
      <c r="J54" s="28">
        <v>0.22</v>
      </c>
      <c r="K54" s="23">
        <v>3631</v>
      </c>
      <c r="L54" s="23">
        <v>3631</v>
      </c>
      <c r="M54" s="29" t="s">
        <v>309</v>
      </c>
      <c r="N54" s="23" t="s">
        <v>946</v>
      </c>
      <c r="O54" s="29" t="s">
        <v>309</v>
      </c>
      <c r="P54" s="29"/>
      <c r="Q54" s="29"/>
      <c r="R54" s="22"/>
      <c r="S54" s="23">
        <v>1</v>
      </c>
      <c r="T54" s="22"/>
      <c r="U54" s="22"/>
      <c r="V54" s="27"/>
      <c r="W54" s="23" t="s">
        <v>904</v>
      </c>
      <c r="X54" s="23" t="s">
        <v>898</v>
      </c>
      <c r="Y54" s="23" t="s">
        <v>904</v>
      </c>
      <c r="Z54" s="22" t="s">
        <v>889</v>
      </c>
      <c r="AA54" s="22"/>
      <c r="AB54" s="23">
        <f>_xlfn.XLOOKUP(E54,nomen!A:A,nomen!C:C,0)</f>
        <v>260</v>
      </c>
      <c r="AC54" s="23"/>
      <c r="AD54" s="27"/>
      <c r="AE54" s="27"/>
      <c r="AF54" s="27" t="s">
        <v>179</v>
      </c>
      <c r="AG54" s="30">
        <v>20.8</v>
      </c>
      <c r="AH54" s="24"/>
      <c r="AI54" s="21"/>
    </row>
    <row r="55" spans="1:35" x14ac:dyDescent="0.3">
      <c r="A55" s="22">
        <v>43</v>
      </c>
      <c r="B55" s="23">
        <v>2037427399934</v>
      </c>
      <c r="C55" s="26" t="s">
        <v>395</v>
      </c>
      <c r="D55" s="22" t="s">
        <v>396</v>
      </c>
      <c r="E55" s="22" t="s">
        <v>396</v>
      </c>
      <c r="F55" s="27" t="s">
        <v>1944</v>
      </c>
      <c r="G55" s="27"/>
      <c r="H55" s="27" t="s">
        <v>395</v>
      </c>
      <c r="I55" s="24">
        <v>103.27868852459017</v>
      </c>
      <c r="J55" s="28">
        <v>0.22</v>
      </c>
      <c r="K55" s="23">
        <v>126</v>
      </c>
      <c r="L55" s="23">
        <v>126</v>
      </c>
      <c r="M55" s="29" t="s">
        <v>309</v>
      </c>
      <c r="N55" s="23" t="s">
        <v>899</v>
      </c>
      <c r="O55" s="29" t="s">
        <v>309</v>
      </c>
      <c r="P55" s="29"/>
      <c r="Q55" s="29"/>
      <c r="R55" s="22"/>
      <c r="S55" s="23">
        <v>1</v>
      </c>
      <c r="T55" s="22"/>
      <c r="U55" s="22"/>
      <c r="V55" s="27"/>
      <c r="W55" s="23" t="s">
        <v>930</v>
      </c>
      <c r="X55" s="23" t="s">
        <v>930</v>
      </c>
      <c r="Y55" s="23" t="s">
        <v>895</v>
      </c>
      <c r="Z55" s="22" t="s">
        <v>889</v>
      </c>
      <c r="AA55" s="22"/>
      <c r="AB55" s="23">
        <f>_xlfn.XLOOKUP(E55,nomen!A:A,nomen!C:C,0)</f>
        <v>596</v>
      </c>
      <c r="AC55" s="23"/>
      <c r="AD55" s="27"/>
      <c r="AE55" s="27"/>
      <c r="AF55" s="27" t="s">
        <v>179</v>
      </c>
      <c r="AG55" s="30">
        <v>0.02</v>
      </c>
      <c r="AH55" s="24"/>
      <c r="AI55" s="21"/>
    </row>
    <row r="56" spans="1:35" x14ac:dyDescent="0.3">
      <c r="A56" s="22">
        <v>44</v>
      </c>
      <c r="B56" s="23">
        <v>2037427398470</v>
      </c>
      <c r="C56" s="26" t="s">
        <v>397</v>
      </c>
      <c r="D56" s="22" t="s">
        <v>398</v>
      </c>
      <c r="E56" s="22" t="s">
        <v>398</v>
      </c>
      <c r="F56" s="27" t="s">
        <v>1944</v>
      </c>
      <c r="G56" s="27"/>
      <c r="H56" s="27" t="s">
        <v>397</v>
      </c>
      <c r="I56" s="24">
        <v>610.65573770491801</v>
      </c>
      <c r="J56" s="28">
        <v>0.22</v>
      </c>
      <c r="K56" s="23">
        <v>745</v>
      </c>
      <c r="L56" s="23">
        <v>745</v>
      </c>
      <c r="M56" s="29" t="s">
        <v>309</v>
      </c>
      <c r="N56" s="23" t="s">
        <v>934</v>
      </c>
      <c r="O56" s="29" t="s">
        <v>309</v>
      </c>
      <c r="P56" s="29"/>
      <c r="Q56" s="29"/>
      <c r="R56" s="22"/>
      <c r="S56" s="23">
        <v>1</v>
      </c>
      <c r="T56" s="22"/>
      <c r="U56" s="22"/>
      <c r="V56" s="27"/>
      <c r="W56" s="23" t="s">
        <v>917</v>
      </c>
      <c r="X56" s="23" t="s">
        <v>917</v>
      </c>
      <c r="Y56" s="23" t="s">
        <v>918</v>
      </c>
      <c r="Z56" s="22" t="s">
        <v>889</v>
      </c>
      <c r="AA56" s="22"/>
      <c r="AB56" s="23">
        <f>_xlfn.XLOOKUP(E56,nomen!A:A,nomen!C:C,0)</f>
        <v>544</v>
      </c>
      <c r="AC56" s="23"/>
      <c r="AD56" s="27"/>
      <c r="AE56" s="27"/>
      <c r="AF56" s="27" t="s">
        <v>179</v>
      </c>
      <c r="AG56" s="30">
        <v>0.22</v>
      </c>
      <c r="AH56" s="24"/>
      <c r="AI56" s="21"/>
    </row>
    <row r="57" spans="1:35" x14ac:dyDescent="0.3">
      <c r="A57" s="22">
        <v>45</v>
      </c>
      <c r="B57" s="23">
        <v>2037427399217</v>
      </c>
      <c r="C57" s="26" t="s">
        <v>399</v>
      </c>
      <c r="D57" s="22" t="s">
        <v>400</v>
      </c>
      <c r="E57" s="22" t="s">
        <v>400</v>
      </c>
      <c r="F57" s="27" t="s">
        <v>1944</v>
      </c>
      <c r="G57" s="27"/>
      <c r="H57" s="27" t="s">
        <v>399</v>
      </c>
      <c r="I57" s="24">
        <v>177.04918032786887</v>
      </c>
      <c r="J57" s="28">
        <v>0.22</v>
      </c>
      <c r="K57" s="23">
        <v>216</v>
      </c>
      <c r="L57" s="23">
        <v>216</v>
      </c>
      <c r="M57" s="29" t="s">
        <v>309</v>
      </c>
      <c r="N57" s="23" t="s">
        <v>947</v>
      </c>
      <c r="O57" s="29" t="s">
        <v>309</v>
      </c>
      <c r="P57" s="29"/>
      <c r="Q57" s="29"/>
      <c r="R57" s="22"/>
      <c r="S57" s="23">
        <v>1</v>
      </c>
      <c r="T57" s="22"/>
      <c r="U57" s="22"/>
      <c r="V57" s="27"/>
      <c r="W57" s="23" t="s">
        <v>897</v>
      </c>
      <c r="X57" s="23" t="s">
        <v>897</v>
      </c>
      <c r="Y57" s="23" t="s">
        <v>903</v>
      </c>
      <c r="Z57" s="22" t="s">
        <v>889</v>
      </c>
      <c r="AA57" s="22"/>
      <c r="AB57" s="23">
        <f>_xlfn.XLOOKUP(E57,nomen!A:A,nomen!C:C,0)</f>
        <v>820</v>
      </c>
      <c r="AC57" s="23"/>
      <c r="AD57" s="27"/>
      <c r="AE57" s="27"/>
      <c r="AF57" s="27" t="s">
        <v>179</v>
      </c>
      <c r="AG57" s="30">
        <v>0.8</v>
      </c>
      <c r="AH57" s="24"/>
      <c r="AI57" s="21"/>
    </row>
    <row r="58" spans="1:35" x14ac:dyDescent="0.3">
      <c r="A58" s="22">
        <v>46</v>
      </c>
      <c r="B58" s="23">
        <v>4673746970027</v>
      </c>
      <c r="C58" s="26" t="s">
        <v>401</v>
      </c>
      <c r="D58" s="22" t="s">
        <v>402</v>
      </c>
      <c r="E58" s="22" t="s">
        <v>402</v>
      </c>
      <c r="F58" s="27" t="s">
        <v>1944</v>
      </c>
      <c r="G58" s="27"/>
      <c r="H58" s="27" t="s">
        <v>401</v>
      </c>
      <c r="I58" s="24">
        <v>794.26229508196718</v>
      </c>
      <c r="J58" s="28">
        <v>0.22</v>
      </c>
      <c r="K58" s="23">
        <v>969</v>
      </c>
      <c r="L58" s="23">
        <v>969</v>
      </c>
      <c r="M58" s="29" t="s">
        <v>309</v>
      </c>
      <c r="N58" s="23" t="s">
        <v>948</v>
      </c>
      <c r="O58" s="29" t="s">
        <v>309</v>
      </c>
      <c r="P58" s="29"/>
      <c r="Q58" s="29"/>
      <c r="R58" s="22"/>
      <c r="S58" s="23">
        <v>1</v>
      </c>
      <c r="T58" s="22"/>
      <c r="U58" s="22"/>
      <c r="V58" s="27"/>
      <c r="W58" s="23" t="s">
        <v>907</v>
      </c>
      <c r="X58" s="23" t="s">
        <v>908</v>
      </c>
      <c r="Y58" s="23" t="s">
        <v>909</v>
      </c>
      <c r="Z58" s="22" t="s">
        <v>889</v>
      </c>
      <c r="AA58" s="22"/>
      <c r="AB58" s="23">
        <f>_xlfn.XLOOKUP(E58,nomen!A:A,nomen!C:C,0)</f>
        <v>0</v>
      </c>
      <c r="AC58" s="23"/>
      <c r="AD58" s="27"/>
      <c r="AE58" s="27"/>
      <c r="AF58" s="27" t="s">
        <v>179</v>
      </c>
      <c r="AG58" s="30">
        <v>5</v>
      </c>
      <c r="AH58" s="24"/>
      <c r="AI58" s="21"/>
    </row>
    <row r="59" spans="1:35" x14ac:dyDescent="0.3">
      <c r="A59" s="22">
        <v>47</v>
      </c>
      <c r="B59" s="23">
        <v>2037427400067</v>
      </c>
      <c r="C59" s="26" t="s">
        <v>403</v>
      </c>
      <c r="D59" s="22" t="s">
        <v>404</v>
      </c>
      <c r="E59" s="22" t="s">
        <v>404</v>
      </c>
      <c r="F59" s="27" t="s">
        <v>1944</v>
      </c>
      <c r="G59" s="27"/>
      <c r="H59" s="27" t="s">
        <v>403</v>
      </c>
      <c r="I59" s="24">
        <v>209.01639344262296</v>
      </c>
      <c r="J59" s="28">
        <v>0.22</v>
      </c>
      <c r="K59" s="23">
        <v>255</v>
      </c>
      <c r="L59" s="23">
        <v>255</v>
      </c>
      <c r="M59" s="29" t="s">
        <v>309</v>
      </c>
      <c r="N59" s="23" t="s">
        <v>904</v>
      </c>
      <c r="O59" s="29" t="s">
        <v>309</v>
      </c>
      <c r="P59" s="29"/>
      <c r="Q59" s="29"/>
      <c r="R59" s="22"/>
      <c r="S59" s="23">
        <v>1</v>
      </c>
      <c r="T59" s="22"/>
      <c r="U59" s="22"/>
      <c r="V59" s="27"/>
      <c r="W59" s="23" t="s">
        <v>897</v>
      </c>
      <c r="X59" s="23" t="s">
        <v>897</v>
      </c>
      <c r="Y59" s="23" t="s">
        <v>909</v>
      </c>
      <c r="Z59" s="22" t="s">
        <v>889</v>
      </c>
      <c r="AA59" s="22"/>
      <c r="AB59" s="23">
        <f>_xlfn.XLOOKUP(E59,nomen!A:A,nomen!C:C,0)</f>
        <v>83</v>
      </c>
      <c r="AC59" s="23"/>
      <c r="AD59" s="27"/>
      <c r="AE59" s="27"/>
      <c r="AF59" s="27" t="s">
        <v>179</v>
      </c>
      <c r="AG59" s="30">
        <v>1</v>
      </c>
      <c r="AH59" s="24"/>
      <c r="AI59" s="21"/>
    </row>
    <row r="60" spans="1:35" x14ac:dyDescent="0.3">
      <c r="A60" s="22">
        <v>48</v>
      </c>
      <c r="B60" s="23">
        <v>2037427400500</v>
      </c>
      <c r="C60" s="26" t="s">
        <v>405</v>
      </c>
      <c r="D60" s="22" t="s">
        <v>406</v>
      </c>
      <c r="E60" s="22" t="s">
        <v>406</v>
      </c>
      <c r="F60" s="27" t="s">
        <v>1944</v>
      </c>
      <c r="G60" s="27"/>
      <c r="H60" s="27" t="s">
        <v>405</v>
      </c>
      <c r="I60" s="24">
        <v>150</v>
      </c>
      <c r="J60" s="28">
        <v>0.22</v>
      </c>
      <c r="K60" s="23">
        <v>183</v>
      </c>
      <c r="L60" s="23">
        <v>183</v>
      </c>
      <c r="M60" s="29" t="s">
        <v>309</v>
      </c>
      <c r="N60" s="23" t="s">
        <v>913</v>
      </c>
      <c r="O60" s="29" t="s">
        <v>309</v>
      </c>
      <c r="P60" s="29"/>
      <c r="Q60" s="29"/>
      <c r="R60" s="22"/>
      <c r="S60" s="23">
        <v>1</v>
      </c>
      <c r="T60" s="22"/>
      <c r="U60" s="22"/>
      <c r="V60" s="27"/>
      <c r="W60" s="23" t="s">
        <v>897</v>
      </c>
      <c r="X60" s="23" t="s">
        <v>897</v>
      </c>
      <c r="Y60" s="23" t="s">
        <v>903</v>
      </c>
      <c r="Z60" s="22" t="s">
        <v>889</v>
      </c>
      <c r="AA60" s="22"/>
      <c r="AB60" s="23">
        <f>_xlfn.XLOOKUP(E60,nomen!A:A,nomen!C:C,0)</f>
        <v>236</v>
      </c>
      <c r="AC60" s="23"/>
      <c r="AD60" s="27"/>
      <c r="AE60" s="27"/>
      <c r="AF60" s="27" t="s">
        <v>179</v>
      </c>
      <c r="AG60" s="30">
        <v>0.83499999999999996</v>
      </c>
      <c r="AH60" s="24"/>
      <c r="AI60" s="21"/>
    </row>
    <row r="61" spans="1:35" x14ac:dyDescent="0.3">
      <c r="A61" s="22">
        <v>49</v>
      </c>
      <c r="B61" s="23">
        <v>2037427399927</v>
      </c>
      <c r="C61" s="26" t="s">
        <v>407</v>
      </c>
      <c r="D61" s="22" t="s">
        <v>408</v>
      </c>
      <c r="E61" s="22" t="s">
        <v>408</v>
      </c>
      <c r="F61" s="27" t="s">
        <v>1944</v>
      </c>
      <c r="G61" s="27"/>
      <c r="H61" s="27" t="s">
        <v>407</v>
      </c>
      <c r="I61" s="24">
        <v>201.63934426229508</v>
      </c>
      <c r="J61" s="28">
        <v>0.22</v>
      </c>
      <c r="K61" s="23">
        <v>246</v>
      </c>
      <c r="L61" s="23">
        <v>246</v>
      </c>
      <c r="M61" s="29" t="s">
        <v>309</v>
      </c>
      <c r="N61" s="23" t="s">
        <v>910</v>
      </c>
      <c r="O61" s="29" t="s">
        <v>309</v>
      </c>
      <c r="P61" s="29"/>
      <c r="Q61" s="29"/>
      <c r="R61" s="22"/>
      <c r="S61" s="23">
        <v>1</v>
      </c>
      <c r="T61" s="22"/>
      <c r="U61" s="22"/>
      <c r="V61" s="27"/>
      <c r="W61" s="23" t="s">
        <v>897</v>
      </c>
      <c r="X61" s="23" t="s">
        <v>897</v>
      </c>
      <c r="Y61" s="23" t="s">
        <v>903</v>
      </c>
      <c r="Z61" s="22" t="s">
        <v>889</v>
      </c>
      <c r="AA61" s="22"/>
      <c r="AB61" s="23">
        <f>_xlfn.XLOOKUP(E61,nomen!A:A,nomen!C:C,0)</f>
        <v>472</v>
      </c>
      <c r="AC61" s="23"/>
      <c r="AD61" s="27"/>
      <c r="AE61" s="27"/>
      <c r="AF61" s="27" t="s">
        <v>179</v>
      </c>
      <c r="AG61" s="30">
        <v>8</v>
      </c>
      <c r="AH61" s="24"/>
      <c r="AI61" s="21"/>
    </row>
    <row r="62" spans="1:35" x14ac:dyDescent="0.3">
      <c r="A62" s="22">
        <v>50</v>
      </c>
      <c r="B62" s="23">
        <v>2037427398524</v>
      </c>
      <c r="C62" s="26" t="s">
        <v>409</v>
      </c>
      <c r="D62" s="22" t="s">
        <v>410</v>
      </c>
      <c r="E62" s="22" t="s">
        <v>410</v>
      </c>
      <c r="F62" s="27" t="s">
        <v>1944</v>
      </c>
      <c r="G62" s="27"/>
      <c r="H62" s="27" t="s">
        <v>409</v>
      </c>
      <c r="I62" s="24">
        <v>590.98360655737702</v>
      </c>
      <c r="J62" s="28">
        <v>0.22</v>
      </c>
      <c r="K62" s="23">
        <v>721</v>
      </c>
      <c r="L62" s="23">
        <v>721</v>
      </c>
      <c r="M62" s="29" t="s">
        <v>309</v>
      </c>
      <c r="N62" s="23" t="s">
        <v>944</v>
      </c>
      <c r="O62" s="29" t="s">
        <v>309</v>
      </c>
      <c r="P62" s="29"/>
      <c r="Q62" s="29"/>
      <c r="R62" s="22"/>
      <c r="S62" s="23">
        <v>1</v>
      </c>
      <c r="T62" s="22"/>
      <c r="U62" s="22"/>
      <c r="V62" s="27"/>
      <c r="W62" s="23" t="s">
        <v>917</v>
      </c>
      <c r="X62" s="23" t="s">
        <v>917</v>
      </c>
      <c r="Y62" s="23" t="s">
        <v>918</v>
      </c>
      <c r="Z62" s="22" t="s">
        <v>889</v>
      </c>
      <c r="AA62" s="22"/>
      <c r="AB62" s="23">
        <f>_xlfn.XLOOKUP(E62,nomen!A:A,nomen!C:C,0)</f>
        <v>0</v>
      </c>
      <c r="AC62" s="23"/>
      <c r="AD62" s="27"/>
      <c r="AE62" s="27"/>
      <c r="AF62" s="27" t="s">
        <v>179</v>
      </c>
      <c r="AG62" s="30">
        <v>0.23899999999999999</v>
      </c>
      <c r="AH62" s="24"/>
      <c r="AI62" s="21"/>
    </row>
    <row r="63" spans="1:35" x14ac:dyDescent="0.3">
      <c r="A63" s="22">
        <v>51</v>
      </c>
      <c r="B63" s="23">
        <v>2037427399514</v>
      </c>
      <c r="C63" s="26" t="s">
        <v>411</v>
      </c>
      <c r="D63" s="22" t="s">
        <v>412</v>
      </c>
      <c r="E63" s="22" t="s">
        <v>412</v>
      </c>
      <c r="F63" s="27" t="s">
        <v>1944</v>
      </c>
      <c r="G63" s="27"/>
      <c r="H63" s="27" t="s">
        <v>411</v>
      </c>
      <c r="I63" s="24">
        <v>1027.8688524590164</v>
      </c>
      <c r="J63" s="28">
        <v>0.22</v>
      </c>
      <c r="K63" s="23">
        <v>1254</v>
      </c>
      <c r="L63" s="23">
        <v>1254</v>
      </c>
      <c r="M63" s="29" t="s">
        <v>309</v>
      </c>
      <c r="N63" s="23" t="s">
        <v>949</v>
      </c>
      <c r="O63" s="29" t="s">
        <v>309</v>
      </c>
      <c r="P63" s="29"/>
      <c r="Q63" s="29"/>
      <c r="R63" s="22"/>
      <c r="S63" s="23">
        <v>1</v>
      </c>
      <c r="T63" s="22"/>
      <c r="U63" s="22"/>
      <c r="V63" s="27"/>
      <c r="W63" s="23" t="s">
        <v>890</v>
      </c>
      <c r="X63" s="23" t="s">
        <v>925</v>
      </c>
      <c r="Y63" s="23" t="s">
        <v>950</v>
      </c>
      <c r="Z63" s="22" t="s">
        <v>889</v>
      </c>
      <c r="AA63" s="22"/>
      <c r="AB63" s="23">
        <f>_xlfn.XLOOKUP(E63,nomen!A:A,nomen!C:C,0)</f>
        <v>0</v>
      </c>
      <c r="AC63" s="23"/>
      <c r="AD63" s="27"/>
      <c r="AE63" s="27"/>
      <c r="AF63" s="27" t="s">
        <v>179</v>
      </c>
      <c r="AG63" s="30">
        <v>1</v>
      </c>
      <c r="AH63" s="24"/>
      <c r="AI63" s="21"/>
    </row>
    <row r="64" spans="1:35" x14ac:dyDescent="0.3">
      <c r="A64" s="22">
        <v>52</v>
      </c>
      <c r="B64" s="23">
        <v>2037427399002</v>
      </c>
      <c r="C64" s="26" t="s">
        <v>413</v>
      </c>
      <c r="D64" s="22" t="s">
        <v>414</v>
      </c>
      <c r="E64" s="22" t="s">
        <v>414</v>
      </c>
      <c r="F64" s="27" t="s">
        <v>1944</v>
      </c>
      <c r="G64" s="27"/>
      <c r="H64" s="27" t="s">
        <v>413</v>
      </c>
      <c r="I64" s="24">
        <v>1131.1475409836066</v>
      </c>
      <c r="J64" s="28">
        <v>0.22</v>
      </c>
      <c r="K64" s="23">
        <v>1380</v>
      </c>
      <c r="L64" s="23">
        <v>1380</v>
      </c>
      <c r="M64" s="29" t="s">
        <v>309</v>
      </c>
      <c r="N64" s="23" t="s">
        <v>951</v>
      </c>
      <c r="O64" s="29" t="s">
        <v>309</v>
      </c>
      <c r="P64" s="29"/>
      <c r="Q64" s="29"/>
      <c r="R64" s="22"/>
      <c r="S64" s="23">
        <v>1</v>
      </c>
      <c r="T64" s="22"/>
      <c r="U64" s="22"/>
      <c r="V64" s="27"/>
      <c r="W64" s="23" t="s">
        <v>907</v>
      </c>
      <c r="X64" s="23" t="s">
        <v>908</v>
      </c>
      <c r="Y64" s="23" t="s">
        <v>909</v>
      </c>
      <c r="Z64" s="22" t="s">
        <v>889</v>
      </c>
      <c r="AA64" s="22"/>
      <c r="AB64" s="23">
        <f>_xlfn.XLOOKUP(E64,nomen!A:A,nomen!C:C,0)</f>
        <v>78</v>
      </c>
      <c r="AC64" s="23"/>
      <c r="AD64" s="27"/>
      <c r="AE64" s="27"/>
      <c r="AF64" s="27" t="s">
        <v>179</v>
      </c>
      <c r="AG64" s="30">
        <v>3.99</v>
      </c>
      <c r="AH64" s="24"/>
      <c r="AI64" s="21"/>
    </row>
    <row r="65" spans="1:35" x14ac:dyDescent="0.3">
      <c r="A65" s="22">
        <v>53</v>
      </c>
      <c r="B65" s="23">
        <v>2037427398708</v>
      </c>
      <c r="C65" s="26" t="s">
        <v>415</v>
      </c>
      <c r="D65" s="22" t="s">
        <v>416</v>
      </c>
      <c r="E65" s="22" t="s">
        <v>416</v>
      </c>
      <c r="F65" s="27" t="s">
        <v>1944</v>
      </c>
      <c r="G65" s="27"/>
      <c r="H65" s="27" t="s">
        <v>415</v>
      </c>
      <c r="I65" s="24">
        <v>267.21311475409834</v>
      </c>
      <c r="J65" s="28">
        <v>0.22</v>
      </c>
      <c r="K65" s="23">
        <v>326</v>
      </c>
      <c r="L65" s="23">
        <v>326</v>
      </c>
      <c r="M65" s="29" t="s">
        <v>309</v>
      </c>
      <c r="N65" s="23" t="s">
        <v>932</v>
      </c>
      <c r="O65" s="29" t="s">
        <v>309</v>
      </c>
      <c r="P65" s="29"/>
      <c r="Q65" s="29"/>
      <c r="R65" s="22"/>
      <c r="S65" s="23">
        <v>1</v>
      </c>
      <c r="T65" s="22"/>
      <c r="U65" s="22"/>
      <c r="V65" s="27"/>
      <c r="W65" s="23" t="s">
        <v>933</v>
      </c>
      <c r="X65" s="23" t="s">
        <v>912</v>
      </c>
      <c r="Y65" s="23" t="s">
        <v>933</v>
      </c>
      <c r="Z65" s="22" t="s">
        <v>889</v>
      </c>
      <c r="AA65" s="22"/>
      <c r="AB65" s="23">
        <f>_xlfn.XLOOKUP(E65,nomen!A:A,nomen!C:C,0)</f>
        <v>1956</v>
      </c>
      <c r="AC65" s="23"/>
      <c r="AD65" s="27"/>
      <c r="AE65" s="27"/>
      <c r="AF65" s="27" t="s">
        <v>179</v>
      </c>
      <c r="AG65" s="30">
        <v>4.2000000000000003E-2</v>
      </c>
      <c r="AH65" s="24"/>
      <c r="AI65" s="21"/>
    </row>
    <row r="66" spans="1:35" x14ac:dyDescent="0.3">
      <c r="A66" s="22">
        <v>54</v>
      </c>
      <c r="B66" s="23">
        <v>2000649175372</v>
      </c>
      <c r="C66" s="26" t="s">
        <v>417</v>
      </c>
      <c r="D66" s="22" t="s">
        <v>418</v>
      </c>
      <c r="E66" s="22" t="s">
        <v>418</v>
      </c>
      <c r="F66" s="27" t="s">
        <v>1944</v>
      </c>
      <c r="G66" s="27"/>
      <c r="H66" s="27" t="s">
        <v>417</v>
      </c>
      <c r="I66" s="24">
        <v>266.39344262295083</v>
      </c>
      <c r="J66" s="28">
        <v>0.22</v>
      </c>
      <c r="K66" s="23">
        <v>325</v>
      </c>
      <c r="L66" s="23">
        <v>325</v>
      </c>
      <c r="M66" s="29" t="s">
        <v>309</v>
      </c>
      <c r="N66" s="23" t="s">
        <v>932</v>
      </c>
      <c r="O66" s="29" t="s">
        <v>309</v>
      </c>
      <c r="P66" s="29"/>
      <c r="Q66" s="29"/>
      <c r="R66" s="22"/>
      <c r="S66" s="23">
        <v>1</v>
      </c>
      <c r="T66" s="22"/>
      <c r="U66" s="22"/>
      <c r="V66" s="27"/>
      <c r="W66" s="23">
        <v>100</v>
      </c>
      <c r="X66" s="23">
        <v>100</v>
      </c>
      <c r="Y66" s="23">
        <v>50</v>
      </c>
      <c r="Z66" s="22" t="s">
        <v>889</v>
      </c>
      <c r="AA66" s="22"/>
      <c r="AB66" s="23">
        <f>_xlfn.XLOOKUP(E66,nomen!A:A,nomen!C:C,0)</f>
        <v>94</v>
      </c>
      <c r="AC66" s="23"/>
      <c r="AD66" s="27"/>
      <c r="AE66" s="27"/>
      <c r="AF66" s="27" t="s">
        <v>179</v>
      </c>
      <c r="AG66" s="30">
        <v>0.1</v>
      </c>
      <c r="AH66" s="24"/>
      <c r="AI66" s="21"/>
    </row>
    <row r="67" spans="1:35" x14ac:dyDescent="0.3">
      <c r="A67" s="22">
        <v>55</v>
      </c>
      <c r="B67" s="23">
        <v>4673746970058</v>
      </c>
      <c r="C67" s="26" t="s">
        <v>419</v>
      </c>
      <c r="D67" s="22" t="s">
        <v>420</v>
      </c>
      <c r="E67" s="22" t="s">
        <v>420</v>
      </c>
      <c r="F67" s="27" t="s">
        <v>1944</v>
      </c>
      <c r="G67" s="27"/>
      <c r="H67" s="27" t="s">
        <v>419</v>
      </c>
      <c r="I67" s="24">
        <v>222.13114754098362</v>
      </c>
      <c r="J67" s="28">
        <v>0.22</v>
      </c>
      <c r="K67" s="23">
        <v>271</v>
      </c>
      <c r="L67" s="23">
        <v>271</v>
      </c>
      <c r="M67" s="29" t="s">
        <v>309</v>
      </c>
      <c r="N67" s="23" t="s">
        <v>952</v>
      </c>
      <c r="O67" s="29" t="s">
        <v>309</v>
      </c>
      <c r="P67" s="29"/>
      <c r="Q67" s="29"/>
      <c r="R67" s="22"/>
      <c r="S67" s="23">
        <v>1</v>
      </c>
      <c r="T67" s="22"/>
      <c r="U67" s="22"/>
      <c r="V67" s="27"/>
      <c r="W67" s="23" t="s">
        <v>897</v>
      </c>
      <c r="X67" s="23" t="s">
        <v>897</v>
      </c>
      <c r="Y67" s="23" t="s">
        <v>903</v>
      </c>
      <c r="Z67" s="22" t="s">
        <v>889</v>
      </c>
      <c r="AA67" s="22"/>
      <c r="AB67" s="23">
        <f>_xlfn.XLOOKUP(E67,nomen!A:A,nomen!C:C,0)</f>
        <v>318</v>
      </c>
      <c r="AC67" s="23"/>
      <c r="AD67" s="27"/>
      <c r="AE67" s="27"/>
      <c r="AF67" s="27" t="s">
        <v>179</v>
      </c>
      <c r="AG67" s="30">
        <v>0.8</v>
      </c>
      <c r="AH67" s="24"/>
      <c r="AI67" s="21"/>
    </row>
    <row r="68" spans="1:35" x14ac:dyDescent="0.3">
      <c r="A68" s="22">
        <v>56</v>
      </c>
      <c r="B68" s="23">
        <v>4673746973035</v>
      </c>
      <c r="C68" s="26" t="s">
        <v>421</v>
      </c>
      <c r="D68" s="22" t="s">
        <v>422</v>
      </c>
      <c r="E68" s="22" t="s">
        <v>422</v>
      </c>
      <c r="F68" s="27" t="s">
        <v>1944</v>
      </c>
      <c r="G68" s="27"/>
      <c r="H68" s="27" t="s">
        <v>421</v>
      </c>
      <c r="I68" s="24">
        <v>98.360655737704917</v>
      </c>
      <c r="J68" s="28">
        <v>0.22</v>
      </c>
      <c r="K68" s="23">
        <v>120</v>
      </c>
      <c r="L68" s="23">
        <v>120</v>
      </c>
      <c r="M68" s="29" t="s">
        <v>309</v>
      </c>
      <c r="N68" s="23" t="s">
        <v>899</v>
      </c>
      <c r="O68" s="29" t="s">
        <v>309</v>
      </c>
      <c r="P68" s="29"/>
      <c r="Q68" s="29"/>
      <c r="R68" s="22"/>
      <c r="S68" s="23">
        <v>1</v>
      </c>
      <c r="T68" s="22"/>
      <c r="U68" s="22"/>
      <c r="V68" s="27"/>
      <c r="W68" s="23" t="s">
        <v>917</v>
      </c>
      <c r="X68" s="23" t="s">
        <v>917</v>
      </c>
      <c r="Y68" s="23" t="s">
        <v>918</v>
      </c>
      <c r="Z68" s="22" t="s">
        <v>889</v>
      </c>
      <c r="AA68" s="22"/>
      <c r="AB68" s="23">
        <f>_xlfn.XLOOKUP(E68,nomen!A:A,nomen!C:C,0)</f>
        <v>419</v>
      </c>
      <c r="AC68" s="23"/>
      <c r="AD68" s="27"/>
      <c r="AE68" s="27"/>
      <c r="AF68" s="27" t="s">
        <v>179</v>
      </c>
      <c r="AG68" s="30">
        <v>0.2</v>
      </c>
      <c r="AH68" s="24"/>
      <c r="AI68" s="21"/>
    </row>
    <row r="69" spans="1:35" x14ac:dyDescent="0.3">
      <c r="A69" s="22">
        <v>57</v>
      </c>
      <c r="B69" s="23">
        <v>4652245476193</v>
      </c>
      <c r="C69" s="26" t="s">
        <v>423</v>
      </c>
      <c r="D69" s="22" t="s">
        <v>424</v>
      </c>
      <c r="E69" s="22" t="s">
        <v>424</v>
      </c>
      <c r="F69" s="27" t="s">
        <v>1944</v>
      </c>
      <c r="G69" s="27"/>
      <c r="H69" s="27" t="s">
        <v>423</v>
      </c>
      <c r="I69" s="24">
        <v>766.39344262295083</v>
      </c>
      <c r="J69" s="28">
        <v>0.22</v>
      </c>
      <c r="K69" s="23">
        <v>935</v>
      </c>
      <c r="L69" s="23">
        <v>935</v>
      </c>
      <c r="M69" s="29" t="s">
        <v>309</v>
      </c>
      <c r="N69" s="23" t="s">
        <v>953</v>
      </c>
      <c r="O69" s="29" t="s">
        <v>309</v>
      </c>
      <c r="P69" s="29"/>
      <c r="Q69" s="29"/>
      <c r="R69" s="22"/>
      <c r="S69" s="23">
        <v>1</v>
      </c>
      <c r="T69" s="22"/>
      <c r="U69" s="22"/>
      <c r="V69" s="27"/>
      <c r="W69" s="23" t="s">
        <v>907</v>
      </c>
      <c r="X69" s="23" t="s">
        <v>908</v>
      </c>
      <c r="Y69" s="23" t="s">
        <v>909</v>
      </c>
      <c r="Z69" s="22" t="s">
        <v>889</v>
      </c>
      <c r="AA69" s="22"/>
      <c r="AB69" s="23">
        <f>_xlfn.XLOOKUP(E69,nomen!A:A,nomen!C:C,0)</f>
        <v>106</v>
      </c>
      <c r="AC69" s="23"/>
      <c r="AD69" s="27"/>
      <c r="AE69" s="27"/>
      <c r="AF69" s="27" t="s">
        <v>179</v>
      </c>
      <c r="AG69" s="30">
        <v>5</v>
      </c>
      <c r="AH69" s="24"/>
      <c r="AI69" s="21"/>
    </row>
    <row r="70" spans="1:35" x14ac:dyDescent="0.3">
      <c r="A70" s="22">
        <v>58</v>
      </c>
      <c r="B70" s="23">
        <v>2038480134593</v>
      </c>
      <c r="C70" s="26" t="s">
        <v>425</v>
      </c>
      <c r="D70" s="22" t="s">
        <v>426</v>
      </c>
      <c r="E70" s="22" t="s">
        <v>426</v>
      </c>
      <c r="F70" s="27" t="s">
        <v>1944</v>
      </c>
      <c r="G70" s="27"/>
      <c r="H70" s="27" t="s">
        <v>425</v>
      </c>
      <c r="I70" s="24">
        <v>49.180327868852459</v>
      </c>
      <c r="J70" s="28">
        <v>0.22</v>
      </c>
      <c r="K70" s="23">
        <v>60</v>
      </c>
      <c r="L70" s="23">
        <v>60</v>
      </c>
      <c r="M70" s="29" t="s">
        <v>309</v>
      </c>
      <c r="N70" s="23" t="s">
        <v>954</v>
      </c>
      <c r="O70" s="29" t="s">
        <v>309</v>
      </c>
      <c r="P70" s="29"/>
      <c r="Q70" s="29"/>
      <c r="R70" s="22"/>
      <c r="S70" s="23">
        <v>1</v>
      </c>
      <c r="T70" s="22"/>
      <c r="U70" s="22"/>
      <c r="V70" s="27"/>
      <c r="W70" s="23" t="s">
        <v>928</v>
      </c>
      <c r="X70" s="23" t="s">
        <v>917</v>
      </c>
      <c r="Y70" s="23" t="s">
        <v>955</v>
      </c>
      <c r="Z70" s="22" t="s">
        <v>889</v>
      </c>
      <c r="AA70" s="22"/>
      <c r="AB70" s="23">
        <f>_xlfn.XLOOKUP(E70,nomen!A:A,nomen!C:C,0)</f>
        <v>0</v>
      </c>
      <c r="AC70" s="23"/>
      <c r="AD70" s="27"/>
      <c r="AE70" s="27"/>
      <c r="AF70" s="27" t="s">
        <v>179</v>
      </c>
      <c r="AG70" s="30">
        <v>0.01</v>
      </c>
      <c r="AH70" s="24"/>
      <c r="AI70" s="21"/>
    </row>
    <row r="71" spans="1:35" ht="27.6" x14ac:dyDescent="0.3">
      <c r="A71" s="22">
        <v>59</v>
      </c>
      <c r="B71" s="23">
        <v>4652245476131</v>
      </c>
      <c r="C71" s="26" t="s">
        <v>427</v>
      </c>
      <c r="D71" s="22" t="s">
        <v>428</v>
      </c>
      <c r="E71" s="22" t="s">
        <v>428</v>
      </c>
      <c r="F71" s="27" t="s">
        <v>1944</v>
      </c>
      <c r="G71" s="27"/>
      <c r="H71" s="27" t="s">
        <v>427</v>
      </c>
      <c r="I71" s="24">
        <v>180.32786885245903</v>
      </c>
      <c r="J71" s="28">
        <v>0.22</v>
      </c>
      <c r="K71" s="23">
        <v>220</v>
      </c>
      <c r="L71" s="23">
        <v>220</v>
      </c>
      <c r="M71" s="29" t="s">
        <v>309</v>
      </c>
      <c r="N71" s="23" t="s">
        <v>904</v>
      </c>
      <c r="O71" s="29" t="s">
        <v>309</v>
      </c>
      <c r="P71" s="29"/>
      <c r="Q71" s="29"/>
      <c r="R71" s="22"/>
      <c r="S71" s="23">
        <v>1</v>
      </c>
      <c r="T71" s="22"/>
      <c r="U71" s="22"/>
      <c r="V71" s="27"/>
      <c r="W71" s="23" t="s">
        <v>893</v>
      </c>
      <c r="X71" s="23">
        <v>80</v>
      </c>
      <c r="Y71" s="23">
        <v>80</v>
      </c>
      <c r="Z71" s="22" t="s">
        <v>889</v>
      </c>
      <c r="AA71" s="22"/>
      <c r="AB71" s="23">
        <f>_xlfn.XLOOKUP(E71,nomen!A:A,nomen!C:C,0)</f>
        <v>207</v>
      </c>
      <c r="AC71" s="23"/>
      <c r="AD71" s="27"/>
      <c r="AE71" s="27"/>
      <c r="AF71" s="27" t="s">
        <v>179</v>
      </c>
      <c r="AG71" s="30">
        <v>0.4</v>
      </c>
      <c r="AH71" s="24"/>
      <c r="AI71" s="21"/>
    </row>
    <row r="72" spans="1:35" x14ac:dyDescent="0.3">
      <c r="A72" s="22">
        <v>60</v>
      </c>
      <c r="B72" s="23">
        <v>4673746971185</v>
      </c>
      <c r="C72" s="26" t="s">
        <v>429</v>
      </c>
      <c r="D72" s="22" t="s">
        <v>430</v>
      </c>
      <c r="E72" s="22" t="s">
        <v>430</v>
      </c>
      <c r="F72" s="27" t="s">
        <v>1944</v>
      </c>
      <c r="G72" s="27"/>
      <c r="H72" s="27" t="s">
        <v>429</v>
      </c>
      <c r="I72" s="24">
        <v>304.09836065573774</v>
      </c>
      <c r="J72" s="28">
        <v>0.22</v>
      </c>
      <c r="K72" s="23">
        <v>371</v>
      </c>
      <c r="L72" s="23">
        <v>371</v>
      </c>
      <c r="M72" s="29" t="s">
        <v>309</v>
      </c>
      <c r="N72" s="23" t="s">
        <v>902</v>
      </c>
      <c r="O72" s="29" t="s">
        <v>309</v>
      </c>
      <c r="P72" s="29"/>
      <c r="Q72" s="29"/>
      <c r="R72" s="22"/>
      <c r="S72" s="23">
        <v>1</v>
      </c>
      <c r="T72" s="22"/>
      <c r="U72" s="22"/>
      <c r="V72" s="27"/>
      <c r="W72" s="23" t="s">
        <v>897</v>
      </c>
      <c r="X72" s="23" t="s">
        <v>897</v>
      </c>
      <c r="Y72" s="23" t="s">
        <v>903</v>
      </c>
      <c r="Z72" s="22" t="s">
        <v>889</v>
      </c>
      <c r="AA72" s="22"/>
      <c r="AB72" s="23">
        <f>_xlfn.XLOOKUP(E72,nomen!A:A,nomen!C:C,0)</f>
        <v>615</v>
      </c>
      <c r="AC72" s="23"/>
      <c r="AD72" s="27"/>
      <c r="AE72" s="27"/>
      <c r="AF72" s="27" t="s">
        <v>179</v>
      </c>
      <c r="AG72" s="30">
        <v>0.8</v>
      </c>
      <c r="AH72" s="24"/>
      <c r="AI72" s="21"/>
    </row>
    <row r="73" spans="1:35" x14ac:dyDescent="0.3">
      <c r="A73" s="22">
        <v>61</v>
      </c>
      <c r="B73" s="23">
        <v>4673746972168</v>
      </c>
      <c r="C73" s="26" t="s">
        <v>431</v>
      </c>
      <c r="D73" s="22" t="s">
        <v>432</v>
      </c>
      <c r="E73" s="22" t="s">
        <v>432</v>
      </c>
      <c r="F73" s="27" t="s">
        <v>1944</v>
      </c>
      <c r="G73" s="27"/>
      <c r="H73" s="27" t="s">
        <v>431</v>
      </c>
      <c r="I73" s="24">
        <v>537.70491803278685</v>
      </c>
      <c r="J73" s="28">
        <v>0.22</v>
      </c>
      <c r="K73" s="23">
        <v>656</v>
      </c>
      <c r="L73" s="23">
        <v>656</v>
      </c>
      <c r="M73" s="29" t="s">
        <v>309</v>
      </c>
      <c r="N73" s="23" t="s">
        <v>944</v>
      </c>
      <c r="O73" s="29" t="s">
        <v>309</v>
      </c>
      <c r="P73" s="29"/>
      <c r="Q73" s="29"/>
      <c r="R73" s="22"/>
      <c r="S73" s="23">
        <v>1</v>
      </c>
      <c r="T73" s="22"/>
      <c r="U73" s="22"/>
      <c r="V73" s="27"/>
      <c r="W73" s="23">
        <v>100</v>
      </c>
      <c r="X73" s="23">
        <v>100</v>
      </c>
      <c r="Y73" s="23">
        <v>50</v>
      </c>
      <c r="Z73" s="22" t="s">
        <v>889</v>
      </c>
      <c r="AA73" s="22"/>
      <c r="AB73" s="23">
        <f>_xlfn.XLOOKUP(E73,nomen!A:A,nomen!C:C,0)</f>
        <v>297</v>
      </c>
      <c r="AC73" s="23"/>
      <c r="AD73" s="27"/>
      <c r="AE73" s="27"/>
      <c r="AF73" s="27" t="s">
        <v>179</v>
      </c>
      <c r="AG73" s="30">
        <v>0.1</v>
      </c>
      <c r="AH73" s="24"/>
      <c r="AI73" s="21"/>
    </row>
    <row r="74" spans="1:35" x14ac:dyDescent="0.3">
      <c r="A74" s="22">
        <v>62</v>
      </c>
      <c r="B74" s="23">
        <v>2037427398371</v>
      </c>
      <c r="C74" s="26" t="s">
        <v>433</v>
      </c>
      <c r="D74" s="22" t="s">
        <v>434</v>
      </c>
      <c r="E74" s="22" t="s">
        <v>434</v>
      </c>
      <c r="F74" s="27" t="s">
        <v>1944</v>
      </c>
      <c r="G74" s="27"/>
      <c r="H74" s="27" t="s">
        <v>433</v>
      </c>
      <c r="I74" s="24">
        <v>190.98360655737704</v>
      </c>
      <c r="J74" s="28">
        <v>0.22</v>
      </c>
      <c r="K74" s="23">
        <v>233</v>
      </c>
      <c r="L74" s="23">
        <v>233</v>
      </c>
      <c r="M74" s="29" t="s">
        <v>309</v>
      </c>
      <c r="N74" s="23" t="s">
        <v>904</v>
      </c>
      <c r="O74" s="29" t="s">
        <v>309</v>
      </c>
      <c r="P74" s="29"/>
      <c r="Q74" s="29"/>
      <c r="R74" s="22"/>
      <c r="S74" s="23">
        <v>1</v>
      </c>
      <c r="T74" s="22"/>
      <c r="U74" s="22"/>
      <c r="V74" s="27"/>
      <c r="W74" s="23" t="s">
        <v>954</v>
      </c>
      <c r="X74" s="23" t="s">
        <v>933</v>
      </c>
      <c r="Y74" s="23" t="s">
        <v>956</v>
      </c>
      <c r="Z74" s="22" t="s">
        <v>889</v>
      </c>
      <c r="AA74" s="22"/>
      <c r="AB74" s="23">
        <f>_xlfn.XLOOKUP(E74,nomen!A:A,nomen!C:C,0)</f>
        <v>666</v>
      </c>
      <c r="AC74" s="23"/>
      <c r="AD74" s="27"/>
      <c r="AE74" s="27"/>
      <c r="AF74" s="27" t="s">
        <v>179</v>
      </c>
      <c r="AG74" s="30">
        <v>1.4E-2</v>
      </c>
      <c r="AH74" s="24"/>
      <c r="AI74" s="21"/>
    </row>
    <row r="75" spans="1:35" x14ac:dyDescent="0.3">
      <c r="A75" s="22">
        <v>63</v>
      </c>
      <c r="B75" s="23">
        <v>4673746971697</v>
      </c>
      <c r="C75" s="26" t="s">
        <v>435</v>
      </c>
      <c r="D75" s="22" t="s">
        <v>436</v>
      </c>
      <c r="E75" s="22" t="s">
        <v>436</v>
      </c>
      <c r="F75" s="27" t="s">
        <v>1944</v>
      </c>
      <c r="G75" s="27"/>
      <c r="H75" s="27" t="s">
        <v>435</v>
      </c>
      <c r="I75" s="24">
        <v>252.45901639344262</v>
      </c>
      <c r="J75" s="28">
        <v>0.22</v>
      </c>
      <c r="K75" s="23">
        <v>308</v>
      </c>
      <c r="L75" s="23">
        <v>308</v>
      </c>
      <c r="M75" s="29" t="s">
        <v>309</v>
      </c>
      <c r="N75" s="23" t="s">
        <v>932</v>
      </c>
      <c r="O75" s="29" t="s">
        <v>309</v>
      </c>
      <c r="P75" s="29"/>
      <c r="Q75" s="29"/>
      <c r="R75" s="22"/>
      <c r="S75" s="23">
        <v>1</v>
      </c>
      <c r="T75" s="22"/>
      <c r="U75" s="22"/>
      <c r="V75" s="27"/>
      <c r="W75" s="23" t="s">
        <v>897</v>
      </c>
      <c r="X75" s="23" t="s">
        <v>897</v>
      </c>
      <c r="Y75" s="23" t="s">
        <v>903</v>
      </c>
      <c r="Z75" s="22" t="s">
        <v>889</v>
      </c>
      <c r="AA75" s="22"/>
      <c r="AB75" s="23">
        <f>_xlfn.XLOOKUP(E75,nomen!A:A,nomen!C:C,0)</f>
        <v>629</v>
      </c>
      <c r="AC75" s="23"/>
      <c r="AD75" s="27"/>
      <c r="AE75" s="27"/>
      <c r="AF75" s="27" t="s">
        <v>179</v>
      </c>
      <c r="AG75" s="30">
        <v>0.3</v>
      </c>
      <c r="AH75" s="24"/>
      <c r="AI75" s="21"/>
    </row>
    <row r="76" spans="1:35" x14ac:dyDescent="0.3">
      <c r="A76" s="22">
        <v>64</v>
      </c>
      <c r="B76" s="23">
        <v>2037427399439</v>
      </c>
      <c r="C76" s="26" t="s">
        <v>437</v>
      </c>
      <c r="D76" s="22" t="s">
        <v>438</v>
      </c>
      <c r="E76" s="22" t="s">
        <v>438</v>
      </c>
      <c r="F76" s="27" t="s">
        <v>1944</v>
      </c>
      <c r="G76" s="27"/>
      <c r="H76" s="27" t="s">
        <v>437</v>
      </c>
      <c r="I76" s="24">
        <v>233.6065573770492</v>
      </c>
      <c r="J76" s="28">
        <v>0.22</v>
      </c>
      <c r="K76" s="23">
        <v>285</v>
      </c>
      <c r="L76" s="23">
        <v>285</v>
      </c>
      <c r="M76" s="29" t="s">
        <v>309</v>
      </c>
      <c r="N76" s="23" t="s">
        <v>910</v>
      </c>
      <c r="O76" s="29" t="s">
        <v>309</v>
      </c>
      <c r="P76" s="29"/>
      <c r="Q76" s="29"/>
      <c r="R76" s="22"/>
      <c r="S76" s="23">
        <v>1</v>
      </c>
      <c r="T76" s="22"/>
      <c r="U76" s="22"/>
      <c r="V76" s="27"/>
      <c r="W76" s="23" t="s">
        <v>897</v>
      </c>
      <c r="X76" s="23" t="s">
        <v>897</v>
      </c>
      <c r="Y76" s="23" t="s">
        <v>909</v>
      </c>
      <c r="Z76" s="22" t="s">
        <v>889</v>
      </c>
      <c r="AA76" s="22"/>
      <c r="AB76" s="23">
        <f>_xlfn.XLOOKUP(E76,nomen!A:A,nomen!C:C,0)</f>
        <v>473</v>
      </c>
      <c r="AC76" s="23"/>
      <c r="AD76" s="27"/>
      <c r="AE76" s="27"/>
      <c r="AF76" s="27" t="s">
        <v>179</v>
      </c>
      <c r="AG76" s="30">
        <v>1</v>
      </c>
      <c r="AH76" s="24"/>
      <c r="AI76" s="21"/>
    </row>
    <row r="77" spans="1:35" ht="27.6" x14ac:dyDescent="0.3">
      <c r="A77" s="22">
        <v>65</v>
      </c>
      <c r="B77" s="23">
        <v>4652245476117</v>
      </c>
      <c r="C77" s="26" t="s">
        <v>439</v>
      </c>
      <c r="D77" s="22" t="s">
        <v>440</v>
      </c>
      <c r="E77" s="22" t="s">
        <v>440</v>
      </c>
      <c r="F77" s="27" t="s">
        <v>1944</v>
      </c>
      <c r="G77" s="27"/>
      <c r="H77" s="27" t="s">
        <v>439</v>
      </c>
      <c r="I77" s="24">
        <v>180.32786885245903</v>
      </c>
      <c r="J77" s="28">
        <v>0.22</v>
      </c>
      <c r="K77" s="23">
        <v>220</v>
      </c>
      <c r="L77" s="23">
        <v>220</v>
      </c>
      <c r="M77" s="29" t="s">
        <v>309</v>
      </c>
      <c r="N77" s="23" t="s">
        <v>904</v>
      </c>
      <c r="O77" s="29" t="s">
        <v>309</v>
      </c>
      <c r="P77" s="29"/>
      <c r="Q77" s="29"/>
      <c r="R77" s="22"/>
      <c r="S77" s="23">
        <v>1</v>
      </c>
      <c r="T77" s="22"/>
      <c r="U77" s="22"/>
      <c r="V77" s="27"/>
      <c r="W77" s="23" t="s">
        <v>893</v>
      </c>
      <c r="X77" s="23">
        <v>80</v>
      </c>
      <c r="Y77" s="23">
        <v>80</v>
      </c>
      <c r="Z77" s="22" t="s">
        <v>889</v>
      </c>
      <c r="AA77" s="22"/>
      <c r="AB77" s="23">
        <f>_xlfn.XLOOKUP(E77,nomen!A:A,nomen!C:C,0)</f>
        <v>522</v>
      </c>
      <c r="AC77" s="23"/>
      <c r="AD77" s="27"/>
      <c r="AE77" s="27"/>
      <c r="AF77" s="27" t="s">
        <v>179</v>
      </c>
      <c r="AG77" s="30">
        <v>0.4</v>
      </c>
      <c r="AH77" s="24"/>
      <c r="AI77" s="21"/>
    </row>
    <row r="78" spans="1:35" x14ac:dyDescent="0.3">
      <c r="A78" s="22">
        <v>66</v>
      </c>
      <c r="B78" s="23">
        <v>4652245476223</v>
      </c>
      <c r="C78" s="26" t="s">
        <v>441</v>
      </c>
      <c r="D78" s="22" t="s">
        <v>442</v>
      </c>
      <c r="E78" s="22" t="s">
        <v>442</v>
      </c>
      <c r="F78" s="27" t="s">
        <v>1944</v>
      </c>
      <c r="G78" s="27"/>
      <c r="H78" s="27" t="s">
        <v>441</v>
      </c>
      <c r="I78" s="24">
        <v>885.24590163934431</v>
      </c>
      <c r="J78" s="28">
        <v>0.22</v>
      </c>
      <c r="K78" s="23">
        <v>1080</v>
      </c>
      <c r="L78" s="23">
        <v>1080</v>
      </c>
      <c r="M78" s="29" t="s">
        <v>309</v>
      </c>
      <c r="N78" s="23" t="s">
        <v>953</v>
      </c>
      <c r="O78" s="29" t="s">
        <v>309</v>
      </c>
      <c r="P78" s="29"/>
      <c r="Q78" s="29"/>
      <c r="R78" s="22"/>
      <c r="S78" s="23">
        <v>1</v>
      </c>
      <c r="T78" s="22"/>
      <c r="U78" s="22"/>
      <c r="V78" s="27"/>
      <c r="W78" s="23" t="s">
        <v>907</v>
      </c>
      <c r="X78" s="23" t="s">
        <v>908</v>
      </c>
      <c r="Y78" s="23" t="s">
        <v>909</v>
      </c>
      <c r="Z78" s="22" t="s">
        <v>889</v>
      </c>
      <c r="AA78" s="22"/>
      <c r="AB78" s="23">
        <f>_xlfn.XLOOKUP(E78,nomen!A:A,nomen!C:C,0)</f>
        <v>78</v>
      </c>
      <c r="AC78" s="23"/>
      <c r="AD78" s="27"/>
      <c r="AE78" s="27"/>
      <c r="AF78" s="27" t="s">
        <v>179</v>
      </c>
      <c r="AG78" s="30">
        <v>4.8</v>
      </c>
      <c r="AH78" s="24"/>
      <c r="AI78" s="21"/>
    </row>
    <row r="79" spans="1:35" x14ac:dyDescent="0.3">
      <c r="A79" s="22">
        <v>67</v>
      </c>
      <c r="B79" s="23">
        <v>4673746973264</v>
      </c>
      <c r="C79" s="26" t="s">
        <v>443</v>
      </c>
      <c r="D79" s="22" t="s">
        <v>444</v>
      </c>
      <c r="E79" s="22" t="s">
        <v>444</v>
      </c>
      <c r="F79" s="27" t="s">
        <v>1944</v>
      </c>
      <c r="G79" s="27"/>
      <c r="H79" s="27" t="s">
        <v>443</v>
      </c>
      <c r="I79" s="24">
        <v>212.29508196721312</v>
      </c>
      <c r="J79" s="28">
        <v>0.22</v>
      </c>
      <c r="K79" s="23">
        <v>259</v>
      </c>
      <c r="L79" s="23">
        <v>259</v>
      </c>
      <c r="M79" s="29" t="s">
        <v>309</v>
      </c>
      <c r="N79" s="23" t="s">
        <v>910</v>
      </c>
      <c r="O79" s="29" t="s">
        <v>309</v>
      </c>
      <c r="P79" s="29"/>
      <c r="Q79" s="29"/>
      <c r="R79" s="22"/>
      <c r="S79" s="23">
        <v>1</v>
      </c>
      <c r="T79" s="22"/>
      <c r="U79" s="22"/>
      <c r="V79" s="27"/>
      <c r="W79" s="23">
        <v>100</v>
      </c>
      <c r="X79" s="23">
        <v>100</v>
      </c>
      <c r="Y79" s="23">
        <v>50</v>
      </c>
      <c r="Z79" s="22" t="s">
        <v>889</v>
      </c>
      <c r="AA79" s="22"/>
      <c r="AB79" s="23">
        <f>_xlfn.XLOOKUP(E79,nomen!A:A,nomen!C:C,0)</f>
        <v>816</v>
      </c>
      <c r="AC79" s="23"/>
      <c r="AD79" s="27"/>
      <c r="AE79" s="27"/>
      <c r="AF79" s="27" t="s">
        <v>179</v>
      </c>
      <c r="AG79" s="30">
        <v>0.7</v>
      </c>
      <c r="AH79" s="24"/>
      <c r="AI79" s="21"/>
    </row>
    <row r="80" spans="1:35" x14ac:dyDescent="0.3">
      <c r="A80" s="22">
        <v>68</v>
      </c>
      <c r="B80" s="23">
        <v>4652245476179</v>
      </c>
      <c r="C80" s="26" t="s">
        <v>445</v>
      </c>
      <c r="D80" s="22" t="s">
        <v>446</v>
      </c>
      <c r="E80" s="22" t="s">
        <v>446</v>
      </c>
      <c r="F80" s="27" t="s">
        <v>1944</v>
      </c>
      <c r="G80" s="27"/>
      <c r="H80" s="27" t="s">
        <v>445</v>
      </c>
      <c r="I80" s="24">
        <v>283.60655737704917</v>
      </c>
      <c r="J80" s="28">
        <v>0.22</v>
      </c>
      <c r="K80" s="23">
        <v>346</v>
      </c>
      <c r="L80" s="23">
        <v>346</v>
      </c>
      <c r="M80" s="29" t="s">
        <v>309</v>
      </c>
      <c r="N80" s="23" t="s">
        <v>906</v>
      </c>
      <c r="O80" s="29" t="s">
        <v>309</v>
      </c>
      <c r="P80" s="29"/>
      <c r="Q80" s="29"/>
      <c r="R80" s="22"/>
      <c r="S80" s="23">
        <v>1</v>
      </c>
      <c r="T80" s="22"/>
      <c r="U80" s="22"/>
      <c r="V80" s="27"/>
      <c r="W80" s="23" t="s">
        <v>897</v>
      </c>
      <c r="X80" s="23" t="s">
        <v>897</v>
      </c>
      <c r="Y80" s="23" t="s">
        <v>903</v>
      </c>
      <c r="Z80" s="22" t="s">
        <v>889</v>
      </c>
      <c r="AA80" s="22"/>
      <c r="AB80" s="23">
        <f>_xlfn.XLOOKUP(E80,nomen!A:A,nomen!C:C,0)</f>
        <v>596</v>
      </c>
      <c r="AC80" s="23"/>
      <c r="AD80" s="27"/>
      <c r="AE80" s="27"/>
      <c r="AF80" s="27" t="s">
        <v>179</v>
      </c>
      <c r="AG80" s="30">
        <v>0.8</v>
      </c>
      <c r="AH80" s="24"/>
      <c r="AI80" s="21"/>
    </row>
    <row r="81" spans="1:35" ht="27.6" x14ac:dyDescent="0.3">
      <c r="A81" s="22">
        <v>69</v>
      </c>
      <c r="B81" s="23">
        <v>4673746973288</v>
      </c>
      <c r="C81" s="26" t="s">
        <v>447</v>
      </c>
      <c r="D81" s="22" t="s">
        <v>448</v>
      </c>
      <c r="E81" s="22" t="s">
        <v>448</v>
      </c>
      <c r="F81" s="27" t="s">
        <v>1944</v>
      </c>
      <c r="G81" s="27"/>
      <c r="H81" s="27" t="s">
        <v>447</v>
      </c>
      <c r="I81" s="24">
        <v>200.81967213114754</v>
      </c>
      <c r="J81" s="28">
        <v>0.22</v>
      </c>
      <c r="K81" s="23">
        <v>245</v>
      </c>
      <c r="L81" s="23">
        <v>245</v>
      </c>
      <c r="M81" s="29" t="s">
        <v>309</v>
      </c>
      <c r="N81" s="23" t="s">
        <v>910</v>
      </c>
      <c r="O81" s="29" t="s">
        <v>309</v>
      </c>
      <c r="P81" s="29"/>
      <c r="Q81" s="29"/>
      <c r="R81" s="22"/>
      <c r="S81" s="23">
        <v>1</v>
      </c>
      <c r="T81" s="22"/>
      <c r="U81" s="22"/>
      <c r="V81" s="27"/>
      <c r="W81" s="23" t="s">
        <v>893</v>
      </c>
      <c r="X81" s="23">
        <v>80</v>
      </c>
      <c r="Y81" s="23">
        <v>80</v>
      </c>
      <c r="Z81" s="22" t="s">
        <v>889</v>
      </c>
      <c r="AA81" s="22"/>
      <c r="AB81" s="23">
        <f>_xlfn.XLOOKUP(E81,nomen!A:A,nomen!C:C,0)</f>
        <v>0</v>
      </c>
      <c r="AC81" s="23"/>
      <c r="AD81" s="27"/>
      <c r="AE81" s="27"/>
      <c r="AF81" s="27" t="s">
        <v>179</v>
      </c>
      <c r="AG81" s="30">
        <v>0.5</v>
      </c>
      <c r="AH81" s="24"/>
      <c r="AI81" s="21"/>
    </row>
    <row r="82" spans="1:35" x14ac:dyDescent="0.3">
      <c r="A82" s="22">
        <v>70</v>
      </c>
      <c r="B82" s="23">
        <v>2037427398425</v>
      </c>
      <c r="C82" s="26" t="s">
        <v>449</v>
      </c>
      <c r="D82" s="22" t="s">
        <v>450</v>
      </c>
      <c r="E82" s="22" t="s">
        <v>450</v>
      </c>
      <c r="F82" s="27" t="s">
        <v>1944</v>
      </c>
      <c r="G82" s="27"/>
      <c r="H82" s="27" t="s">
        <v>449</v>
      </c>
      <c r="I82" s="24">
        <v>141.80327868852459</v>
      </c>
      <c r="J82" s="28">
        <v>0.22</v>
      </c>
      <c r="K82" s="23">
        <v>173</v>
      </c>
      <c r="L82" s="23">
        <v>173</v>
      </c>
      <c r="M82" s="29" t="s">
        <v>309</v>
      </c>
      <c r="N82" s="23" t="s">
        <v>957</v>
      </c>
      <c r="O82" s="29" t="s">
        <v>309</v>
      </c>
      <c r="P82" s="29"/>
      <c r="Q82" s="29"/>
      <c r="R82" s="22"/>
      <c r="S82" s="23">
        <v>1</v>
      </c>
      <c r="T82" s="22"/>
      <c r="U82" s="22"/>
      <c r="V82" s="27"/>
      <c r="W82" s="23" t="s">
        <v>891</v>
      </c>
      <c r="X82" s="23" t="s">
        <v>895</v>
      </c>
      <c r="Y82" s="23" t="s">
        <v>891</v>
      </c>
      <c r="Z82" s="22" t="s">
        <v>889</v>
      </c>
      <c r="AA82" s="22"/>
      <c r="AB82" s="23">
        <f>_xlfn.XLOOKUP(E82,nomen!A:A,nomen!C:C,0)</f>
        <v>1731</v>
      </c>
      <c r="AC82" s="23"/>
      <c r="AD82" s="27"/>
      <c r="AE82" s="27"/>
      <c r="AF82" s="27" t="s">
        <v>179</v>
      </c>
      <c r="AG82" s="30">
        <v>1.4999999999999999E-2</v>
      </c>
      <c r="AH82" s="24"/>
      <c r="AI82" s="21"/>
    </row>
    <row r="83" spans="1:35" ht="27.6" x14ac:dyDescent="0.3">
      <c r="A83" s="22">
        <v>71</v>
      </c>
      <c r="B83" s="23">
        <v>4652245476094</v>
      </c>
      <c r="C83" s="26" t="s">
        <v>451</v>
      </c>
      <c r="D83" s="22" t="s">
        <v>452</v>
      </c>
      <c r="E83" s="22" t="s">
        <v>452</v>
      </c>
      <c r="F83" s="27" t="s">
        <v>1944</v>
      </c>
      <c r="G83" s="27"/>
      <c r="H83" s="27" t="s">
        <v>451</v>
      </c>
      <c r="I83" s="24">
        <v>180.32786885245903</v>
      </c>
      <c r="J83" s="28">
        <v>0.22</v>
      </c>
      <c r="K83" s="23">
        <v>220</v>
      </c>
      <c r="L83" s="23">
        <v>220</v>
      </c>
      <c r="M83" s="29" t="s">
        <v>309</v>
      </c>
      <c r="N83" s="23" t="s">
        <v>904</v>
      </c>
      <c r="O83" s="29" t="s">
        <v>309</v>
      </c>
      <c r="P83" s="29"/>
      <c r="Q83" s="29"/>
      <c r="R83" s="22"/>
      <c r="S83" s="23">
        <v>1</v>
      </c>
      <c r="T83" s="22"/>
      <c r="U83" s="22"/>
      <c r="V83" s="27"/>
      <c r="W83" s="23" t="s">
        <v>893</v>
      </c>
      <c r="X83" s="23">
        <v>80</v>
      </c>
      <c r="Y83" s="23">
        <v>80</v>
      </c>
      <c r="Z83" s="22" t="s">
        <v>889</v>
      </c>
      <c r="AA83" s="22"/>
      <c r="AB83" s="23">
        <f>_xlfn.XLOOKUP(E83,nomen!A:A,nomen!C:C,0)</f>
        <v>208</v>
      </c>
      <c r="AC83" s="23"/>
      <c r="AD83" s="27"/>
      <c r="AE83" s="27"/>
      <c r="AF83" s="27" t="s">
        <v>179</v>
      </c>
      <c r="AG83" s="30">
        <v>0.4</v>
      </c>
      <c r="AH83" s="24"/>
      <c r="AI83" s="21"/>
    </row>
    <row r="84" spans="1:35" x14ac:dyDescent="0.3">
      <c r="A84" s="22">
        <v>72</v>
      </c>
      <c r="B84" s="23">
        <v>2037427398302</v>
      </c>
      <c r="C84" s="26" t="s">
        <v>453</v>
      </c>
      <c r="D84" s="22" t="s">
        <v>454</v>
      </c>
      <c r="E84" s="22" t="s">
        <v>454</v>
      </c>
      <c r="F84" s="27" t="s">
        <v>1944</v>
      </c>
      <c r="G84" s="27"/>
      <c r="H84" s="27" t="s">
        <v>453</v>
      </c>
      <c r="I84" s="24">
        <v>300</v>
      </c>
      <c r="J84" s="28">
        <v>0.22</v>
      </c>
      <c r="K84" s="23">
        <v>366</v>
      </c>
      <c r="L84" s="23">
        <v>366</v>
      </c>
      <c r="M84" s="29" t="s">
        <v>309</v>
      </c>
      <c r="N84" s="23" t="s">
        <v>906</v>
      </c>
      <c r="O84" s="29" t="s">
        <v>309</v>
      </c>
      <c r="P84" s="29"/>
      <c r="Q84" s="29"/>
      <c r="R84" s="22"/>
      <c r="S84" s="23">
        <v>1</v>
      </c>
      <c r="T84" s="22"/>
      <c r="U84" s="22"/>
      <c r="V84" s="27"/>
      <c r="W84" s="23" t="s">
        <v>890</v>
      </c>
      <c r="X84" s="23" t="s">
        <v>890</v>
      </c>
      <c r="Y84" s="23" t="s">
        <v>895</v>
      </c>
      <c r="Z84" s="22" t="s">
        <v>889</v>
      </c>
      <c r="AA84" s="22"/>
      <c r="AB84" s="23">
        <f>_xlfn.XLOOKUP(E84,nomen!A:A,nomen!C:C,0)</f>
        <v>901</v>
      </c>
      <c r="AC84" s="23"/>
      <c r="AD84" s="27"/>
      <c r="AE84" s="27"/>
      <c r="AF84" s="27" t="s">
        <v>179</v>
      </c>
      <c r="AG84" s="30">
        <v>2.5999999999999999E-2</v>
      </c>
      <c r="AH84" s="24"/>
      <c r="AI84" s="21"/>
    </row>
    <row r="85" spans="1:35" x14ac:dyDescent="0.3">
      <c r="A85" s="22">
        <v>73</v>
      </c>
      <c r="B85" s="23">
        <v>2037427398319</v>
      </c>
      <c r="C85" s="26" t="s">
        <v>455</v>
      </c>
      <c r="D85" s="22" t="s">
        <v>456</v>
      </c>
      <c r="E85" s="22" t="s">
        <v>456</v>
      </c>
      <c r="F85" s="27" t="s">
        <v>1944</v>
      </c>
      <c r="G85" s="27"/>
      <c r="H85" s="27" t="s">
        <v>455</v>
      </c>
      <c r="I85" s="24">
        <v>354.09836065573774</v>
      </c>
      <c r="J85" s="28">
        <v>0.22</v>
      </c>
      <c r="K85" s="23">
        <v>432</v>
      </c>
      <c r="L85" s="23">
        <v>432</v>
      </c>
      <c r="M85" s="29" t="s">
        <v>309</v>
      </c>
      <c r="N85" s="23" t="s">
        <v>958</v>
      </c>
      <c r="O85" s="29" t="s">
        <v>309</v>
      </c>
      <c r="P85" s="29"/>
      <c r="Q85" s="29"/>
      <c r="R85" s="22"/>
      <c r="S85" s="23">
        <v>1</v>
      </c>
      <c r="T85" s="22"/>
      <c r="U85" s="22"/>
      <c r="V85" s="27"/>
      <c r="W85" s="23" t="s">
        <v>890</v>
      </c>
      <c r="X85" s="23" t="s">
        <v>895</v>
      </c>
      <c r="Y85" s="23" t="s">
        <v>890</v>
      </c>
      <c r="Z85" s="22" t="s">
        <v>889</v>
      </c>
      <c r="AA85" s="22"/>
      <c r="AB85" s="23">
        <f>_xlfn.XLOOKUP(E85,nomen!A:A,nomen!C:C,0)</f>
        <v>444</v>
      </c>
      <c r="AC85" s="23"/>
      <c r="AD85" s="27"/>
      <c r="AE85" s="27"/>
      <c r="AF85" s="27" t="s">
        <v>179</v>
      </c>
      <c r="AG85" s="30">
        <v>0.03</v>
      </c>
      <c r="AH85" s="24"/>
      <c r="AI85" s="21"/>
    </row>
    <row r="86" spans="1:35" x14ac:dyDescent="0.3">
      <c r="A86" s="22">
        <v>74</v>
      </c>
      <c r="B86" s="23">
        <v>2037427400210</v>
      </c>
      <c r="C86" s="26" t="s">
        <v>457</v>
      </c>
      <c r="D86" s="22" t="s">
        <v>458</v>
      </c>
      <c r="E86" s="22" t="s">
        <v>458</v>
      </c>
      <c r="F86" s="27" t="s">
        <v>1944</v>
      </c>
      <c r="G86" s="27"/>
      <c r="H86" s="27" t="s">
        <v>457</v>
      </c>
      <c r="I86" s="24">
        <v>196.72131147540983</v>
      </c>
      <c r="J86" s="28">
        <v>0.22</v>
      </c>
      <c r="K86" s="23">
        <v>240</v>
      </c>
      <c r="L86" s="23">
        <v>240</v>
      </c>
      <c r="M86" s="29" t="s">
        <v>309</v>
      </c>
      <c r="N86" s="23" t="s">
        <v>945</v>
      </c>
      <c r="O86" s="29" t="s">
        <v>309</v>
      </c>
      <c r="P86" s="29"/>
      <c r="Q86" s="29"/>
      <c r="R86" s="22"/>
      <c r="S86" s="23">
        <v>1</v>
      </c>
      <c r="T86" s="22"/>
      <c r="U86" s="22"/>
      <c r="V86" s="27"/>
      <c r="W86" s="23" t="s">
        <v>909</v>
      </c>
      <c r="X86" s="23" t="s">
        <v>933</v>
      </c>
      <c r="Y86" s="23" t="s">
        <v>909</v>
      </c>
      <c r="Z86" s="22" t="s">
        <v>889</v>
      </c>
      <c r="AA86" s="22"/>
      <c r="AB86" s="23">
        <f>_xlfn.XLOOKUP(E86,nomen!A:A,nomen!C:C,0)</f>
        <v>282</v>
      </c>
      <c r="AC86" s="23"/>
      <c r="AD86" s="27"/>
      <c r="AE86" s="27"/>
      <c r="AF86" s="27" t="s">
        <v>179</v>
      </c>
      <c r="AG86" s="30">
        <v>1.0169999999999999</v>
      </c>
      <c r="AH86" s="24"/>
      <c r="AI86" s="21"/>
    </row>
    <row r="87" spans="1:35" x14ac:dyDescent="0.3">
      <c r="A87" s="22">
        <v>75</v>
      </c>
      <c r="B87" s="23">
        <v>4673746970423</v>
      </c>
      <c r="C87" s="26" t="s">
        <v>459</v>
      </c>
      <c r="D87" s="22" t="s">
        <v>460</v>
      </c>
      <c r="E87" s="22" t="s">
        <v>460</v>
      </c>
      <c r="F87" s="27" t="s">
        <v>1944</v>
      </c>
      <c r="G87" s="27"/>
      <c r="H87" s="27" t="s">
        <v>459</v>
      </c>
      <c r="I87" s="24">
        <v>406.55737704918033</v>
      </c>
      <c r="J87" s="28">
        <v>0.22</v>
      </c>
      <c r="K87" s="23">
        <v>496</v>
      </c>
      <c r="L87" s="23">
        <v>496</v>
      </c>
      <c r="M87" s="29" t="s">
        <v>309</v>
      </c>
      <c r="N87" s="23" t="s">
        <v>959</v>
      </c>
      <c r="O87" s="29" t="s">
        <v>309</v>
      </c>
      <c r="P87" s="29"/>
      <c r="Q87" s="29"/>
      <c r="R87" s="22"/>
      <c r="S87" s="23">
        <v>1</v>
      </c>
      <c r="T87" s="22"/>
      <c r="U87" s="22"/>
      <c r="V87" s="27"/>
      <c r="W87" s="23" t="s">
        <v>897</v>
      </c>
      <c r="X87" s="23" t="s">
        <v>897</v>
      </c>
      <c r="Y87" s="23" t="s">
        <v>903</v>
      </c>
      <c r="Z87" s="22" t="s">
        <v>889</v>
      </c>
      <c r="AA87" s="22"/>
      <c r="AB87" s="23">
        <f>_xlfn.XLOOKUP(E87,nomen!A:A,nomen!C:C,0)</f>
        <v>842</v>
      </c>
      <c r="AC87" s="23"/>
      <c r="AD87" s="27"/>
      <c r="AE87" s="27"/>
      <c r="AF87" s="27" t="s">
        <v>179</v>
      </c>
      <c r="AG87" s="30">
        <v>0.6</v>
      </c>
      <c r="AH87" s="24"/>
      <c r="AI87" s="21"/>
    </row>
    <row r="88" spans="1:35" x14ac:dyDescent="0.3">
      <c r="A88" s="22">
        <v>76</v>
      </c>
      <c r="B88" s="23">
        <v>4673746971291</v>
      </c>
      <c r="C88" s="26" t="s">
        <v>461</v>
      </c>
      <c r="D88" s="22" t="s">
        <v>462</v>
      </c>
      <c r="E88" s="22" t="s">
        <v>462</v>
      </c>
      <c r="F88" s="27" t="s">
        <v>1944</v>
      </c>
      <c r="G88" s="27"/>
      <c r="H88" s="27" t="s">
        <v>461</v>
      </c>
      <c r="I88" s="24">
        <v>818.03278688524597</v>
      </c>
      <c r="J88" s="28">
        <v>0.22</v>
      </c>
      <c r="K88" s="23">
        <v>998</v>
      </c>
      <c r="L88" s="23">
        <v>998</v>
      </c>
      <c r="M88" s="29" t="s">
        <v>309</v>
      </c>
      <c r="N88" s="23" t="s">
        <v>960</v>
      </c>
      <c r="O88" s="29" t="s">
        <v>309</v>
      </c>
      <c r="P88" s="29"/>
      <c r="Q88" s="29"/>
      <c r="R88" s="22"/>
      <c r="S88" s="23">
        <v>1</v>
      </c>
      <c r="T88" s="22"/>
      <c r="U88" s="22"/>
      <c r="V88" s="27"/>
      <c r="W88" s="23">
        <v>100</v>
      </c>
      <c r="X88" s="23">
        <v>100</v>
      </c>
      <c r="Y88" s="23">
        <v>50</v>
      </c>
      <c r="Z88" s="22" t="s">
        <v>889</v>
      </c>
      <c r="AA88" s="22"/>
      <c r="AB88" s="23">
        <f>_xlfn.XLOOKUP(E88,nomen!A:A,nomen!C:C,0)</f>
        <v>0</v>
      </c>
      <c r="AC88" s="23"/>
      <c r="AD88" s="27"/>
      <c r="AE88" s="27"/>
      <c r="AF88" s="27" t="s">
        <v>179</v>
      </c>
      <c r="AG88" s="30">
        <v>0.5</v>
      </c>
      <c r="AH88" s="24"/>
      <c r="AI88" s="21"/>
    </row>
    <row r="89" spans="1:35" x14ac:dyDescent="0.3">
      <c r="A89" s="22">
        <v>77</v>
      </c>
      <c r="B89" s="23">
        <v>2037427400227</v>
      </c>
      <c r="C89" s="26" t="s">
        <v>463</v>
      </c>
      <c r="D89" s="22" t="s">
        <v>464</v>
      </c>
      <c r="E89" s="22" t="s">
        <v>464</v>
      </c>
      <c r="F89" s="27" t="s">
        <v>1944</v>
      </c>
      <c r="G89" s="27"/>
      <c r="H89" s="27" t="s">
        <v>463</v>
      </c>
      <c r="I89" s="24">
        <v>1903.2786885245903</v>
      </c>
      <c r="J89" s="28">
        <v>0.22</v>
      </c>
      <c r="K89" s="23">
        <v>2322</v>
      </c>
      <c r="L89" s="23">
        <v>2322</v>
      </c>
      <c r="M89" s="29" t="s">
        <v>309</v>
      </c>
      <c r="N89" s="23" t="s">
        <v>961</v>
      </c>
      <c r="O89" s="29" t="s">
        <v>309</v>
      </c>
      <c r="P89" s="29"/>
      <c r="Q89" s="29"/>
      <c r="R89" s="22"/>
      <c r="S89" s="23">
        <v>1</v>
      </c>
      <c r="T89" s="22"/>
      <c r="U89" s="22"/>
      <c r="V89" s="27"/>
      <c r="W89" s="23" t="s">
        <v>909</v>
      </c>
      <c r="X89" s="23" t="s">
        <v>909</v>
      </c>
      <c r="Y89" s="23" t="s">
        <v>962</v>
      </c>
      <c r="Z89" s="22" t="s">
        <v>889</v>
      </c>
      <c r="AA89" s="22"/>
      <c r="AB89" s="23">
        <f>_xlfn.XLOOKUP(E89,nomen!A:A,nomen!C:C,0)</f>
        <v>316</v>
      </c>
      <c r="AC89" s="23"/>
      <c r="AD89" s="27"/>
      <c r="AE89" s="27"/>
      <c r="AF89" s="27" t="s">
        <v>179</v>
      </c>
      <c r="AG89" s="30">
        <v>20</v>
      </c>
      <c r="AH89" s="24"/>
      <c r="AI89" s="21"/>
    </row>
    <row r="90" spans="1:35" x14ac:dyDescent="0.3">
      <c r="A90" s="22">
        <v>78</v>
      </c>
      <c r="B90" s="23">
        <v>4673746972427</v>
      </c>
      <c r="C90" s="26" t="s">
        <v>465</v>
      </c>
      <c r="D90" s="22" t="s">
        <v>466</v>
      </c>
      <c r="E90" s="22" t="s">
        <v>466</v>
      </c>
      <c r="F90" s="27" t="s">
        <v>1944</v>
      </c>
      <c r="G90" s="27"/>
      <c r="H90" s="27" t="s">
        <v>465</v>
      </c>
      <c r="I90" s="24">
        <v>212.29508196721312</v>
      </c>
      <c r="J90" s="28">
        <v>0.22</v>
      </c>
      <c r="K90" s="23">
        <v>259</v>
      </c>
      <c r="L90" s="23">
        <v>259</v>
      </c>
      <c r="M90" s="29" t="s">
        <v>309</v>
      </c>
      <c r="N90" s="23" t="s">
        <v>910</v>
      </c>
      <c r="O90" s="29" t="s">
        <v>309</v>
      </c>
      <c r="P90" s="29"/>
      <c r="Q90" s="29"/>
      <c r="R90" s="22"/>
      <c r="S90" s="23">
        <v>1</v>
      </c>
      <c r="T90" s="22"/>
      <c r="U90" s="22"/>
      <c r="V90" s="27"/>
      <c r="W90" s="23">
        <v>100</v>
      </c>
      <c r="X90" s="23">
        <v>100</v>
      </c>
      <c r="Y90" s="23">
        <v>50</v>
      </c>
      <c r="Z90" s="22" t="s">
        <v>889</v>
      </c>
      <c r="AA90" s="22"/>
      <c r="AB90" s="23">
        <f>_xlfn.XLOOKUP(E90,nomen!A:A,nomen!C:C,0)</f>
        <v>177</v>
      </c>
      <c r="AC90" s="23"/>
      <c r="AD90" s="27"/>
      <c r="AE90" s="27"/>
      <c r="AF90" s="27" t="s">
        <v>179</v>
      </c>
      <c r="AG90" s="30">
        <v>0.2</v>
      </c>
      <c r="AH90" s="24"/>
      <c r="AI90" s="21"/>
    </row>
    <row r="91" spans="1:35" x14ac:dyDescent="0.3">
      <c r="A91" s="22">
        <v>79</v>
      </c>
      <c r="B91" s="23">
        <v>4673746972854</v>
      </c>
      <c r="C91" s="26" t="s">
        <v>467</v>
      </c>
      <c r="D91" s="22" t="s">
        <v>468</v>
      </c>
      <c r="E91" s="22" t="s">
        <v>468</v>
      </c>
      <c r="F91" s="27" t="s">
        <v>1944</v>
      </c>
      <c r="G91" s="27"/>
      <c r="H91" s="27" t="s">
        <v>467</v>
      </c>
      <c r="I91" s="24">
        <v>375.40983606557376</v>
      </c>
      <c r="J91" s="28">
        <v>0.22</v>
      </c>
      <c r="K91" s="23">
        <v>458</v>
      </c>
      <c r="L91" s="23">
        <v>458</v>
      </c>
      <c r="M91" s="29" t="s">
        <v>309</v>
      </c>
      <c r="N91" s="23" t="s">
        <v>916</v>
      </c>
      <c r="O91" s="29" t="s">
        <v>309</v>
      </c>
      <c r="P91" s="29"/>
      <c r="Q91" s="29"/>
      <c r="R91" s="22"/>
      <c r="S91" s="23">
        <v>1</v>
      </c>
      <c r="T91" s="22"/>
      <c r="U91" s="22"/>
      <c r="V91" s="27"/>
      <c r="W91" s="23">
        <v>100</v>
      </c>
      <c r="X91" s="23">
        <v>100</v>
      </c>
      <c r="Y91" s="23">
        <v>50</v>
      </c>
      <c r="Z91" s="22" t="s">
        <v>889</v>
      </c>
      <c r="AA91" s="22"/>
      <c r="AB91" s="23">
        <f>_xlfn.XLOOKUP(E91,nomen!A:A,nomen!C:C,0)</f>
        <v>884</v>
      </c>
      <c r="AC91" s="23"/>
      <c r="AD91" s="27"/>
      <c r="AE91" s="27"/>
      <c r="AF91" s="27" t="s">
        <v>179</v>
      </c>
      <c r="AG91" s="30">
        <v>0.1</v>
      </c>
      <c r="AH91" s="24"/>
      <c r="AI91" s="21"/>
    </row>
    <row r="92" spans="1:35" x14ac:dyDescent="0.3">
      <c r="A92" s="22">
        <v>80</v>
      </c>
      <c r="B92" s="23">
        <v>2037427398555</v>
      </c>
      <c r="C92" s="26" t="s">
        <v>469</v>
      </c>
      <c r="D92" s="22" t="s">
        <v>470</v>
      </c>
      <c r="E92" s="22" t="s">
        <v>470</v>
      </c>
      <c r="F92" s="27" t="s">
        <v>1944</v>
      </c>
      <c r="G92" s="27"/>
      <c r="H92" s="27" t="s">
        <v>469</v>
      </c>
      <c r="I92" s="24">
        <v>86.885245901639351</v>
      </c>
      <c r="J92" s="28">
        <v>0.22</v>
      </c>
      <c r="K92" s="23">
        <v>106</v>
      </c>
      <c r="L92" s="23">
        <v>106</v>
      </c>
      <c r="M92" s="29" t="s">
        <v>309</v>
      </c>
      <c r="N92" s="23" t="s">
        <v>923</v>
      </c>
      <c r="O92" s="29" t="s">
        <v>309</v>
      </c>
      <c r="P92" s="29"/>
      <c r="Q92" s="29"/>
      <c r="R92" s="22"/>
      <c r="S92" s="23">
        <v>1</v>
      </c>
      <c r="T92" s="22"/>
      <c r="U92" s="22"/>
      <c r="V92" s="27"/>
      <c r="W92" s="23" t="s">
        <v>897</v>
      </c>
      <c r="X92" s="23" t="s">
        <v>922</v>
      </c>
      <c r="Y92" s="23" t="s">
        <v>922</v>
      </c>
      <c r="Z92" s="22" t="s">
        <v>889</v>
      </c>
      <c r="AA92" s="22"/>
      <c r="AB92" s="23">
        <f>_xlfn.XLOOKUP(E92,nomen!A:A,nomen!C:C,0)</f>
        <v>643</v>
      </c>
      <c r="AC92" s="23"/>
      <c r="AD92" s="27"/>
      <c r="AE92" s="27"/>
      <c r="AF92" s="27" t="s">
        <v>179</v>
      </c>
      <c r="AG92" s="30">
        <v>1.4E-2</v>
      </c>
      <c r="AH92" s="24"/>
      <c r="AI92" s="21"/>
    </row>
    <row r="93" spans="1:35" x14ac:dyDescent="0.3">
      <c r="A93" s="22">
        <v>81</v>
      </c>
      <c r="B93" s="23">
        <v>4652245476605</v>
      </c>
      <c r="C93" s="26" t="s">
        <v>471</v>
      </c>
      <c r="D93" s="22" t="s">
        <v>472</v>
      </c>
      <c r="E93" s="22" t="s">
        <v>472</v>
      </c>
      <c r="F93" s="27" t="s">
        <v>1944</v>
      </c>
      <c r="G93" s="27"/>
      <c r="H93" s="27" t="s">
        <v>471</v>
      </c>
      <c r="I93" s="24">
        <v>2549.1803278688526</v>
      </c>
      <c r="J93" s="28">
        <v>0.22</v>
      </c>
      <c r="K93" s="23">
        <v>3110</v>
      </c>
      <c r="L93" s="23">
        <v>3110</v>
      </c>
      <c r="M93" s="29" t="s">
        <v>309</v>
      </c>
      <c r="N93" s="23" t="s">
        <v>963</v>
      </c>
      <c r="O93" s="29" t="s">
        <v>309</v>
      </c>
      <c r="P93" s="29"/>
      <c r="Q93" s="29"/>
      <c r="R93" s="22"/>
      <c r="S93" s="23">
        <v>1</v>
      </c>
      <c r="T93" s="22"/>
      <c r="U93" s="22"/>
      <c r="V93" s="27"/>
      <c r="W93" s="23">
        <v>100</v>
      </c>
      <c r="X93" s="23">
        <v>100</v>
      </c>
      <c r="Y93" s="23">
        <v>50</v>
      </c>
      <c r="Z93" s="22" t="s">
        <v>889</v>
      </c>
      <c r="AA93" s="22"/>
      <c r="AB93" s="23">
        <f>_xlfn.XLOOKUP(E93,nomen!A:A,nomen!C:C,0)</f>
        <v>269</v>
      </c>
      <c r="AC93" s="23"/>
      <c r="AD93" s="27"/>
      <c r="AE93" s="27"/>
      <c r="AF93" s="27" t="s">
        <v>179</v>
      </c>
      <c r="AG93" s="30">
        <v>21</v>
      </c>
      <c r="AH93" s="24"/>
      <c r="AI93" s="21"/>
    </row>
    <row r="94" spans="1:35" x14ac:dyDescent="0.3">
      <c r="A94" s="22">
        <v>82</v>
      </c>
      <c r="B94" s="23">
        <v>4673746972120</v>
      </c>
      <c r="C94" s="26" t="s">
        <v>473</v>
      </c>
      <c r="D94" s="22" t="s">
        <v>474</v>
      </c>
      <c r="E94" s="22" t="s">
        <v>474</v>
      </c>
      <c r="F94" s="27" t="s">
        <v>1944</v>
      </c>
      <c r="G94" s="27"/>
      <c r="H94" s="27" t="s">
        <v>473</v>
      </c>
      <c r="I94" s="24">
        <v>212.29508196721312</v>
      </c>
      <c r="J94" s="28">
        <v>0.22</v>
      </c>
      <c r="K94" s="23">
        <v>259</v>
      </c>
      <c r="L94" s="23">
        <v>259</v>
      </c>
      <c r="M94" s="29" t="s">
        <v>309</v>
      </c>
      <c r="N94" s="23" t="s">
        <v>910</v>
      </c>
      <c r="O94" s="29" t="s">
        <v>309</v>
      </c>
      <c r="P94" s="29"/>
      <c r="Q94" s="29"/>
      <c r="R94" s="22"/>
      <c r="S94" s="23">
        <v>1</v>
      </c>
      <c r="T94" s="22"/>
      <c r="U94" s="22"/>
      <c r="V94" s="27"/>
      <c r="W94" s="23">
        <v>100</v>
      </c>
      <c r="X94" s="23">
        <v>100</v>
      </c>
      <c r="Y94" s="23">
        <v>50</v>
      </c>
      <c r="Z94" s="22" t="s">
        <v>889</v>
      </c>
      <c r="AA94" s="22"/>
      <c r="AB94" s="23">
        <f>_xlfn.XLOOKUP(E94,nomen!A:A,nomen!C:C,0)</f>
        <v>215</v>
      </c>
      <c r="AC94" s="23"/>
      <c r="AD94" s="27"/>
      <c r="AE94" s="27"/>
      <c r="AF94" s="27" t="s">
        <v>179</v>
      </c>
      <c r="AG94" s="30">
        <v>0.1</v>
      </c>
      <c r="AH94" s="24"/>
      <c r="AI94" s="21"/>
    </row>
    <row r="95" spans="1:35" x14ac:dyDescent="0.3">
      <c r="A95" s="22">
        <v>83</v>
      </c>
      <c r="B95" s="23">
        <v>2037427398685</v>
      </c>
      <c r="C95" s="26" t="s">
        <v>475</v>
      </c>
      <c r="D95" s="22" t="s">
        <v>476</v>
      </c>
      <c r="E95" s="22" t="s">
        <v>476</v>
      </c>
      <c r="F95" s="27" t="s">
        <v>1944</v>
      </c>
      <c r="G95" s="27"/>
      <c r="H95" s="27" t="s">
        <v>475</v>
      </c>
      <c r="I95" s="24">
        <v>213.11475409836066</v>
      </c>
      <c r="J95" s="28">
        <v>0.22</v>
      </c>
      <c r="K95" s="23">
        <v>260</v>
      </c>
      <c r="L95" s="23">
        <v>260</v>
      </c>
      <c r="M95" s="29" t="s">
        <v>309</v>
      </c>
      <c r="N95" s="23" t="s">
        <v>910</v>
      </c>
      <c r="O95" s="29" t="s">
        <v>309</v>
      </c>
      <c r="P95" s="29"/>
      <c r="Q95" s="29"/>
      <c r="R95" s="22"/>
      <c r="S95" s="23">
        <v>1</v>
      </c>
      <c r="T95" s="22"/>
      <c r="U95" s="22"/>
      <c r="V95" s="27"/>
      <c r="W95" s="23" t="s">
        <v>964</v>
      </c>
      <c r="X95" s="23" t="s">
        <v>929</v>
      </c>
      <c r="Y95" s="23" t="s">
        <v>964</v>
      </c>
      <c r="Z95" s="22" t="s">
        <v>889</v>
      </c>
      <c r="AA95" s="22"/>
      <c r="AB95" s="23">
        <f>_xlfn.XLOOKUP(E95,nomen!A:A,nomen!C:C,0)</f>
        <v>140</v>
      </c>
      <c r="AC95" s="23"/>
      <c r="AD95" s="27"/>
      <c r="AE95" s="27"/>
      <c r="AF95" s="27" t="s">
        <v>179</v>
      </c>
      <c r="AG95" s="30">
        <v>2.1999999999999999E-2</v>
      </c>
      <c r="AH95" s="24"/>
      <c r="AI95" s="21"/>
    </row>
    <row r="96" spans="1:35" x14ac:dyDescent="0.3">
      <c r="A96" s="22">
        <v>84</v>
      </c>
      <c r="B96" s="23">
        <v>4673746970522</v>
      </c>
      <c r="C96" s="26" t="s">
        <v>477</v>
      </c>
      <c r="D96" s="22" t="s">
        <v>478</v>
      </c>
      <c r="E96" s="22" t="s">
        <v>478</v>
      </c>
      <c r="F96" s="27" t="s">
        <v>1944</v>
      </c>
      <c r="G96" s="27"/>
      <c r="H96" s="27" t="s">
        <v>477</v>
      </c>
      <c r="I96" s="24">
        <v>1024.5901639344263</v>
      </c>
      <c r="J96" s="28">
        <v>0.22</v>
      </c>
      <c r="K96" s="23">
        <v>1250</v>
      </c>
      <c r="L96" s="23">
        <v>1250</v>
      </c>
      <c r="M96" s="29" t="s">
        <v>309</v>
      </c>
      <c r="N96" s="23" t="s">
        <v>949</v>
      </c>
      <c r="O96" s="29" t="s">
        <v>309</v>
      </c>
      <c r="P96" s="29"/>
      <c r="Q96" s="29"/>
      <c r="R96" s="22"/>
      <c r="S96" s="23">
        <v>1</v>
      </c>
      <c r="T96" s="22"/>
      <c r="U96" s="22"/>
      <c r="V96" s="27"/>
      <c r="W96" s="23">
        <v>100</v>
      </c>
      <c r="X96" s="23">
        <v>100</v>
      </c>
      <c r="Y96" s="23">
        <v>50</v>
      </c>
      <c r="Z96" s="22" t="s">
        <v>889</v>
      </c>
      <c r="AA96" s="22"/>
      <c r="AB96" s="23">
        <f>_xlfn.XLOOKUP(E96,nomen!A:A,nomen!C:C,0)</f>
        <v>60</v>
      </c>
      <c r="AC96" s="23"/>
      <c r="AD96" s="27"/>
      <c r="AE96" s="27"/>
      <c r="AF96" s="27" t="s">
        <v>179</v>
      </c>
      <c r="AG96" s="30">
        <v>1</v>
      </c>
      <c r="AH96" s="24"/>
      <c r="AI96" s="21"/>
    </row>
    <row r="97" spans="1:35" x14ac:dyDescent="0.3">
      <c r="A97" s="22">
        <v>85</v>
      </c>
      <c r="B97" s="23">
        <v>4673746972694</v>
      </c>
      <c r="C97" s="26" t="s">
        <v>479</v>
      </c>
      <c r="D97" s="22" t="s">
        <v>480</v>
      </c>
      <c r="E97" s="22" t="s">
        <v>480</v>
      </c>
      <c r="F97" s="27" t="s">
        <v>1944</v>
      </c>
      <c r="G97" s="27"/>
      <c r="H97" s="27" t="s">
        <v>479</v>
      </c>
      <c r="I97" s="24">
        <v>591.80327868852464</v>
      </c>
      <c r="J97" s="28">
        <v>0.22</v>
      </c>
      <c r="K97" s="23">
        <v>722</v>
      </c>
      <c r="L97" s="23">
        <v>722</v>
      </c>
      <c r="M97" s="29" t="s">
        <v>309</v>
      </c>
      <c r="N97" s="23" t="s">
        <v>940</v>
      </c>
      <c r="O97" s="29" t="s">
        <v>309</v>
      </c>
      <c r="P97" s="29"/>
      <c r="Q97" s="29"/>
      <c r="R97" s="22"/>
      <c r="S97" s="23">
        <v>1</v>
      </c>
      <c r="T97" s="22"/>
      <c r="U97" s="22"/>
      <c r="V97" s="27"/>
      <c r="W97" s="23">
        <v>100</v>
      </c>
      <c r="X97" s="23">
        <v>100</v>
      </c>
      <c r="Y97" s="23">
        <v>50</v>
      </c>
      <c r="Z97" s="22" t="s">
        <v>889</v>
      </c>
      <c r="AA97" s="22"/>
      <c r="AB97" s="23">
        <f>_xlfn.XLOOKUP(E97,nomen!A:A,nomen!C:C,0)</f>
        <v>869</v>
      </c>
      <c r="AC97" s="23"/>
      <c r="AD97" s="27"/>
      <c r="AE97" s="27"/>
      <c r="AF97" s="27" t="s">
        <v>179</v>
      </c>
      <c r="AG97" s="30">
        <v>0.4</v>
      </c>
      <c r="AH97" s="24"/>
      <c r="AI97" s="21"/>
    </row>
    <row r="98" spans="1:35" x14ac:dyDescent="0.3">
      <c r="A98" s="22">
        <v>86</v>
      </c>
      <c r="B98" s="23">
        <v>4673746972588</v>
      </c>
      <c r="C98" s="26" t="s">
        <v>481</v>
      </c>
      <c r="D98" s="22" t="s">
        <v>482</v>
      </c>
      <c r="E98" s="22" t="s">
        <v>482</v>
      </c>
      <c r="F98" s="27" t="s">
        <v>1944</v>
      </c>
      <c r="G98" s="27"/>
      <c r="H98" s="27" t="s">
        <v>481</v>
      </c>
      <c r="I98" s="24">
        <v>200.81967213114754</v>
      </c>
      <c r="J98" s="28">
        <v>0.22</v>
      </c>
      <c r="K98" s="23">
        <v>245</v>
      </c>
      <c r="L98" s="23">
        <v>245</v>
      </c>
      <c r="M98" s="29" t="s">
        <v>309</v>
      </c>
      <c r="N98" s="23" t="s">
        <v>910</v>
      </c>
      <c r="O98" s="29" t="s">
        <v>309</v>
      </c>
      <c r="P98" s="29"/>
      <c r="Q98" s="29"/>
      <c r="R98" s="22"/>
      <c r="S98" s="23">
        <v>1</v>
      </c>
      <c r="T98" s="22"/>
      <c r="U98" s="22"/>
      <c r="V98" s="27"/>
      <c r="W98" s="23" t="s">
        <v>897</v>
      </c>
      <c r="X98" s="23" t="s">
        <v>897</v>
      </c>
      <c r="Y98" s="23" t="s">
        <v>903</v>
      </c>
      <c r="Z98" s="22" t="s">
        <v>889</v>
      </c>
      <c r="AA98" s="22"/>
      <c r="AB98" s="23">
        <f>_xlfn.XLOOKUP(E98,nomen!A:A,nomen!C:C,0)</f>
        <v>470</v>
      </c>
      <c r="AC98" s="23"/>
      <c r="AD98" s="27"/>
      <c r="AE98" s="27"/>
      <c r="AF98" s="27" t="s">
        <v>179</v>
      </c>
      <c r="AG98" s="30">
        <v>0.8</v>
      </c>
      <c r="AH98" s="24"/>
      <c r="AI98" s="21"/>
    </row>
    <row r="99" spans="1:35" x14ac:dyDescent="0.3">
      <c r="A99" s="22">
        <v>87</v>
      </c>
      <c r="B99" s="23">
        <v>4673746973196</v>
      </c>
      <c r="C99" s="26" t="s">
        <v>483</v>
      </c>
      <c r="D99" s="22" t="s">
        <v>484</v>
      </c>
      <c r="E99" s="22" t="s">
        <v>484</v>
      </c>
      <c r="F99" s="27" t="s">
        <v>1944</v>
      </c>
      <c r="G99" s="27"/>
      <c r="H99" s="27" t="s">
        <v>483</v>
      </c>
      <c r="I99" s="24">
        <v>12245.901639344263</v>
      </c>
      <c r="J99" s="28">
        <v>0.22</v>
      </c>
      <c r="K99" s="23">
        <v>14940</v>
      </c>
      <c r="L99" s="23">
        <v>14940</v>
      </c>
      <c r="M99" s="29" t="s">
        <v>309</v>
      </c>
      <c r="N99" s="23" t="s">
        <v>965</v>
      </c>
      <c r="O99" s="29" t="s">
        <v>309</v>
      </c>
      <c r="P99" s="29"/>
      <c r="Q99" s="29"/>
      <c r="R99" s="22"/>
      <c r="S99" s="23">
        <v>1</v>
      </c>
      <c r="T99" s="22"/>
      <c r="U99" s="22"/>
      <c r="V99" s="27"/>
      <c r="W99" s="23" t="s">
        <v>966</v>
      </c>
      <c r="X99" s="23" t="s">
        <v>923</v>
      </c>
      <c r="Y99" s="23" t="s">
        <v>966</v>
      </c>
      <c r="Z99" s="22" t="s">
        <v>889</v>
      </c>
      <c r="AA99" s="22"/>
      <c r="AB99" s="23">
        <f>_xlfn.XLOOKUP(E99,nomen!A:A,nomen!C:C,0)</f>
        <v>0</v>
      </c>
      <c r="AC99" s="23"/>
      <c r="AD99" s="27"/>
      <c r="AE99" s="27"/>
      <c r="AF99" s="27" t="s">
        <v>179</v>
      </c>
      <c r="AG99" s="30">
        <v>2.65</v>
      </c>
      <c r="AH99" s="24"/>
      <c r="AI99" s="21"/>
    </row>
    <row r="100" spans="1:35" x14ac:dyDescent="0.3">
      <c r="A100" s="22">
        <v>88</v>
      </c>
      <c r="B100" s="23">
        <v>4652245476711</v>
      </c>
      <c r="C100" s="26" t="s">
        <v>485</v>
      </c>
      <c r="D100" s="22" t="s">
        <v>486</v>
      </c>
      <c r="E100" s="22" t="s">
        <v>486</v>
      </c>
      <c r="F100" s="27" t="s">
        <v>1944</v>
      </c>
      <c r="G100" s="27"/>
      <c r="H100" s="27" t="s">
        <v>485</v>
      </c>
      <c r="I100" s="24">
        <v>1312.295081967213</v>
      </c>
      <c r="J100" s="28">
        <v>0.22</v>
      </c>
      <c r="K100" s="23">
        <v>1601</v>
      </c>
      <c r="L100" s="23">
        <v>1601</v>
      </c>
      <c r="M100" s="29" t="s">
        <v>309</v>
      </c>
      <c r="N100" s="23" t="s">
        <v>967</v>
      </c>
      <c r="O100" s="29" t="s">
        <v>309</v>
      </c>
      <c r="P100" s="29"/>
      <c r="Q100" s="29"/>
      <c r="R100" s="22"/>
      <c r="S100" s="23">
        <v>1</v>
      </c>
      <c r="T100" s="22"/>
      <c r="U100" s="22"/>
      <c r="V100" s="27"/>
      <c r="W100" s="23" t="s">
        <v>907</v>
      </c>
      <c r="X100" s="23" t="s">
        <v>908</v>
      </c>
      <c r="Y100" s="23" t="s">
        <v>909</v>
      </c>
      <c r="Z100" s="22" t="s">
        <v>889</v>
      </c>
      <c r="AA100" s="22"/>
      <c r="AB100" s="23">
        <f>_xlfn.XLOOKUP(E100,nomen!A:A,nomen!C:C,0)</f>
        <v>143</v>
      </c>
      <c r="AC100" s="23"/>
      <c r="AD100" s="27"/>
      <c r="AE100" s="27"/>
      <c r="AF100" s="27" t="s">
        <v>179</v>
      </c>
      <c r="AG100" s="30">
        <v>0.5</v>
      </c>
      <c r="AH100" s="24"/>
      <c r="AI100" s="21"/>
    </row>
    <row r="101" spans="1:35" x14ac:dyDescent="0.3">
      <c r="A101" s="22">
        <v>89</v>
      </c>
      <c r="B101" s="23">
        <v>2037427399095</v>
      </c>
      <c r="C101" s="26" t="s">
        <v>487</v>
      </c>
      <c r="D101" s="22" t="s">
        <v>488</v>
      </c>
      <c r="E101" s="22" t="s">
        <v>488</v>
      </c>
      <c r="F101" s="27" t="s">
        <v>1944</v>
      </c>
      <c r="G101" s="27"/>
      <c r="H101" s="27" t="s">
        <v>487</v>
      </c>
      <c r="I101" s="24">
        <v>614.7540983606558</v>
      </c>
      <c r="J101" s="28">
        <v>0.22</v>
      </c>
      <c r="K101" s="23">
        <v>750</v>
      </c>
      <c r="L101" s="23">
        <v>750</v>
      </c>
      <c r="M101" s="29" t="s">
        <v>309</v>
      </c>
      <c r="N101" s="23" t="s">
        <v>934</v>
      </c>
      <c r="O101" s="29" t="s">
        <v>309</v>
      </c>
      <c r="P101" s="29"/>
      <c r="Q101" s="29"/>
      <c r="R101" s="22"/>
      <c r="S101" s="23">
        <v>1</v>
      </c>
      <c r="T101" s="22"/>
      <c r="U101" s="22"/>
      <c r="V101" s="27"/>
      <c r="W101" s="23" t="s">
        <v>907</v>
      </c>
      <c r="X101" s="23" t="s">
        <v>908</v>
      </c>
      <c r="Y101" s="23" t="s">
        <v>909</v>
      </c>
      <c r="Z101" s="22" t="s">
        <v>889</v>
      </c>
      <c r="AA101" s="22"/>
      <c r="AB101" s="23">
        <f>_xlfn.XLOOKUP(E101,nomen!A:A,nomen!C:C,0)</f>
        <v>111</v>
      </c>
      <c r="AC101" s="23"/>
      <c r="AD101" s="27"/>
      <c r="AE101" s="27"/>
      <c r="AF101" s="27" t="s">
        <v>179</v>
      </c>
      <c r="AG101" s="30">
        <v>5</v>
      </c>
      <c r="AH101" s="24"/>
      <c r="AI101" s="21"/>
    </row>
    <row r="102" spans="1:35" x14ac:dyDescent="0.3">
      <c r="A102" s="22">
        <v>90</v>
      </c>
      <c r="B102" s="23">
        <v>4652245476766</v>
      </c>
      <c r="C102" s="26" t="s">
        <v>489</v>
      </c>
      <c r="D102" s="22" t="s">
        <v>490</v>
      </c>
      <c r="E102" s="22" t="s">
        <v>490</v>
      </c>
      <c r="F102" s="27" t="s">
        <v>1944</v>
      </c>
      <c r="G102" s="27"/>
      <c r="H102" s="27" t="s">
        <v>489</v>
      </c>
      <c r="I102" s="24">
        <v>200.81967213114754</v>
      </c>
      <c r="J102" s="28">
        <v>0.22</v>
      </c>
      <c r="K102" s="23">
        <v>245</v>
      </c>
      <c r="L102" s="23">
        <v>245</v>
      </c>
      <c r="M102" s="29" t="s">
        <v>309</v>
      </c>
      <c r="N102" s="23" t="s">
        <v>910</v>
      </c>
      <c r="O102" s="29" t="s">
        <v>309</v>
      </c>
      <c r="P102" s="29"/>
      <c r="Q102" s="29"/>
      <c r="R102" s="22"/>
      <c r="S102" s="23">
        <v>1</v>
      </c>
      <c r="T102" s="22"/>
      <c r="U102" s="22"/>
      <c r="V102" s="27"/>
      <c r="W102" s="23" t="s">
        <v>897</v>
      </c>
      <c r="X102" s="23" t="s">
        <v>897</v>
      </c>
      <c r="Y102" s="23" t="s">
        <v>903</v>
      </c>
      <c r="Z102" s="22" t="s">
        <v>889</v>
      </c>
      <c r="AA102" s="22"/>
      <c r="AB102" s="23">
        <f>_xlfn.XLOOKUP(E102,nomen!A:A,nomen!C:C,0)</f>
        <v>781</v>
      </c>
      <c r="AC102" s="23"/>
      <c r="AD102" s="27"/>
      <c r="AE102" s="27"/>
      <c r="AF102" s="27" t="s">
        <v>179</v>
      </c>
      <c r="AG102" s="30">
        <v>0.6</v>
      </c>
      <c r="AH102" s="24"/>
      <c r="AI102" s="21"/>
    </row>
    <row r="103" spans="1:35" x14ac:dyDescent="0.3">
      <c r="A103" s="22">
        <v>91</v>
      </c>
      <c r="B103" s="23">
        <v>4673746971550</v>
      </c>
      <c r="C103" s="26" t="s">
        <v>491</v>
      </c>
      <c r="D103" s="22" t="s">
        <v>492</v>
      </c>
      <c r="E103" s="22" t="s">
        <v>492</v>
      </c>
      <c r="F103" s="27" t="s">
        <v>1944</v>
      </c>
      <c r="G103" s="27"/>
      <c r="H103" s="27" t="s">
        <v>491</v>
      </c>
      <c r="I103" s="24">
        <v>613.11475409836066</v>
      </c>
      <c r="J103" s="28">
        <v>0.22</v>
      </c>
      <c r="K103" s="23">
        <v>748</v>
      </c>
      <c r="L103" s="23">
        <v>748</v>
      </c>
      <c r="M103" s="29" t="s">
        <v>309</v>
      </c>
      <c r="N103" s="23" t="s">
        <v>934</v>
      </c>
      <c r="O103" s="29" t="s">
        <v>309</v>
      </c>
      <c r="P103" s="29"/>
      <c r="Q103" s="29"/>
      <c r="R103" s="22"/>
      <c r="S103" s="23">
        <v>1</v>
      </c>
      <c r="T103" s="22"/>
      <c r="U103" s="22"/>
      <c r="V103" s="27"/>
      <c r="W103" s="23" t="s">
        <v>897</v>
      </c>
      <c r="X103" s="23" t="s">
        <v>897</v>
      </c>
      <c r="Y103" s="23" t="s">
        <v>903</v>
      </c>
      <c r="Z103" s="22" t="s">
        <v>889</v>
      </c>
      <c r="AA103" s="22"/>
      <c r="AB103" s="23">
        <f>_xlfn.XLOOKUP(E103,nomen!A:A,nomen!C:C,0)</f>
        <v>447</v>
      </c>
      <c r="AC103" s="23"/>
      <c r="AD103" s="27"/>
      <c r="AE103" s="27"/>
      <c r="AF103" s="27" t="s">
        <v>179</v>
      </c>
      <c r="AG103" s="30">
        <v>0.8</v>
      </c>
      <c r="AH103" s="24"/>
      <c r="AI103" s="21"/>
    </row>
    <row r="104" spans="1:35" x14ac:dyDescent="0.3">
      <c r="A104" s="22">
        <v>92</v>
      </c>
      <c r="B104" s="23">
        <v>4673746974087</v>
      </c>
      <c r="C104" s="26" t="s">
        <v>493</v>
      </c>
      <c r="D104" s="22" t="s">
        <v>494</v>
      </c>
      <c r="E104" s="22" t="s">
        <v>494</v>
      </c>
      <c r="F104" s="27" t="s">
        <v>1944</v>
      </c>
      <c r="G104" s="27"/>
      <c r="H104" s="27" t="s">
        <v>493</v>
      </c>
      <c r="I104" s="24">
        <v>200.81967213114754</v>
      </c>
      <c r="J104" s="28">
        <v>0.22</v>
      </c>
      <c r="K104" s="23">
        <v>245</v>
      </c>
      <c r="L104" s="23">
        <v>245</v>
      </c>
      <c r="M104" s="29" t="s">
        <v>309</v>
      </c>
      <c r="N104" s="23" t="s">
        <v>910</v>
      </c>
      <c r="O104" s="29" t="s">
        <v>309</v>
      </c>
      <c r="P104" s="29"/>
      <c r="Q104" s="29"/>
      <c r="R104" s="22"/>
      <c r="S104" s="23">
        <v>1</v>
      </c>
      <c r="T104" s="22"/>
      <c r="U104" s="22"/>
      <c r="V104" s="27"/>
      <c r="W104" s="23" t="s">
        <v>893</v>
      </c>
      <c r="X104" s="23">
        <v>80</v>
      </c>
      <c r="Y104" s="23">
        <v>80</v>
      </c>
      <c r="Z104" s="22" t="s">
        <v>889</v>
      </c>
      <c r="AA104" s="22"/>
      <c r="AB104" s="23">
        <f>_xlfn.XLOOKUP(E104,nomen!A:A,nomen!C:C,0)</f>
        <v>454</v>
      </c>
      <c r="AC104" s="23"/>
      <c r="AD104" s="27"/>
      <c r="AE104" s="27"/>
      <c r="AF104" s="27" t="s">
        <v>179</v>
      </c>
      <c r="AG104" s="30">
        <v>0.4</v>
      </c>
      <c r="AH104" s="24"/>
      <c r="AI104" s="21"/>
    </row>
    <row r="105" spans="1:35" x14ac:dyDescent="0.3">
      <c r="A105" s="22">
        <v>93</v>
      </c>
      <c r="B105" s="23">
        <v>4673746972786</v>
      </c>
      <c r="C105" s="26" t="s">
        <v>495</v>
      </c>
      <c r="D105" s="22" t="s">
        <v>496</v>
      </c>
      <c r="E105" s="22" t="s">
        <v>496</v>
      </c>
      <c r="F105" s="27" t="s">
        <v>1944</v>
      </c>
      <c r="G105" s="27"/>
      <c r="H105" s="27" t="s">
        <v>495</v>
      </c>
      <c r="I105" s="24">
        <v>754.09836065573768</v>
      </c>
      <c r="J105" s="28">
        <v>0.22</v>
      </c>
      <c r="K105" s="23">
        <v>920</v>
      </c>
      <c r="L105" s="23">
        <v>920</v>
      </c>
      <c r="M105" s="29" t="s">
        <v>309</v>
      </c>
      <c r="N105" s="23" t="s">
        <v>968</v>
      </c>
      <c r="O105" s="29" t="s">
        <v>309</v>
      </c>
      <c r="P105" s="29"/>
      <c r="Q105" s="29"/>
      <c r="R105" s="22"/>
      <c r="S105" s="23">
        <v>1</v>
      </c>
      <c r="T105" s="22"/>
      <c r="U105" s="22"/>
      <c r="V105" s="27"/>
      <c r="W105" s="23">
        <v>100</v>
      </c>
      <c r="X105" s="23">
        <v>100</v>
      </c>
      <c r="Y105" s="23">
        <v>50</v>
      </c>
      <c r="Z105" s="22" t="s">
        <v>889</v>
      </c>
      <c r="AA105" s="22"/>
      <c r="AB105" s="23">
        <f>_xlfn.XLOOKUP(E105,nomen!A:A,nomen!C:C,0)</f>
        <v>225</v>
      </c>
      <c r="AC105" s="23"/>
      <c r="AD105" s="27"/>
      <c r="AE105" s="27"/>
      <c r="AF105" s="27" t="s">
        <v>179</v>
      </c>
      <c r="AG105" s="30">
        <v>0.2</v>
      </c>
      <c r="AH105" s="24"/>
      <c r="AI105" s="21"/>
    </row>
    <row r="106" spans="1:35" x14ac:dyDescent="0.3">
      <c r="A106" s="22">
        <v>94</v>
      </c>
      <c r="B106" s="23">
        <v>4673746971680</v>
      </c>
      <c r="C106" s="26" t="s">
        <v>497</v>
      </c>
      <c r="D106" s="22" t="s">
        <v>498</v>
      </c>
      <c r="E106" s="22" t="s">
        <v>498</v>
      </c>
      <c r="F106" s="27" t="s">
        <v>1944</v>
      </c>
      <c r="G106" s="27"/>
      <c r="H106" s="27" t="s">
        <v>497</v>
      </c>
      <c r="I106" s="24">
        <v>252.45901639344262</v>
      </c>
      <c r="J106" s="28">
        <v>0.22</v>
      </c>
      <c r="K106" s="23">
        <v>308</v>
      </c>
      <c r="L106" s="23">
        <v>308</v>
      </c>
      <c r="M106" s="29" t="s">
        <v>309</v>
      </c>
      <c r="N106" s="23" t="s">
        <v>932</v>
      </c>
      <c r="O106" s="29" t="s">
        <v>309</v>
      </c>
      <c r="P106" s="29"/>
      <c r="Q106" s="29"/>
      <c r="R106" s="22"/>
      <c r="S106" s="23">
        <v>1</v>
      </c>
      <c r="T106" s="22"/>
      <c r="U106" s="22"/>
      <c r="V106" s="27"/>
      <c r="W106" s="23" t="s">
        <v>897</v>
      </c>
      <c r="X106" s="23" t="s">
        <v>897</v>
      </c>
      <c r="Y106" s="23" t="s">
        <v>903</v>
      </c>
      <c r="Z106" s="22" t="s">
        <v>889</v>
      </c>
      <c r="AA106" s="22"/>
      <c r="AB106" s="23">
        <f>_xlfn.XLOOKUP(E106,nomen!A:A,nomen!C:C,0)</f>
        <v>585</v>
      </c>
      <c r="AC106" s="23"/>
      <c r="AD106" s="27"/>
      <c r="AE106" s="27"/>
      <c r="AF106" s="27" t="s">
        <v>179</v>
      </c>
      <c r="AG106" s="30">
        <v>0.8</v>
      </c>
      <c r="AH106" s="24"/>
      <c r="AI106" s="21"/>
    </row>
    <row r="107" spans="1:35" x14ac:dyDescent="0.3">
      <c r="A107" s="22">
        <v>95</v>
      </c>
      <c r="B107" s="23">
        <v>2037427398104</v>
      </c>
      <c r="C107" s="26" t="s">
        <v>499</v>
      </c>
      <c r="D107" s="22" t="s">
        <v>500</v>
      </c>
      <c r="E107" s="22" t="s">
        <v>500</v>
      </c>
      <c r="F107" s="27" t="s">
        <v>1944</v>
      </c>
      <c r="G107" s="27"/>
      <c r="H107" s="27" t="s">
        <v>499</v>
      </c>
      <c r="I107" s="24">
        <v>213.11475409836066</v>
      </c>
      <c r="J107" s="28">
        <v>0.22</v>
      </c>
      <c r="K107" s="23">
        <v>260</v>
      </c>
      <c r="L107" s="23">
        <v>260</v>
      </c>
      <c r="M107" s="29" t="s">
        <v>309</v>
      </c>
      <c r="N107" s="23" t="s">
        <v>910</v>
      </c>
      <c r="O107" s="29" t="s">
        <v>309</v>
      </c>
      <c r="P107" s="29"/>
      <c r="Q107" s="29"/>
      <c r="R107" s="22"/>
      <c r="S107" s="23">
        <v>1</v>
      </c>
      <c r="T107" s="22"/>
      <c r="U107" s="22"/>
      <c r="V107" s="27"/>
      <c r="W107" s="23" t="s">
        <v>969</v>
      </c>
      <c r="X107" s="23" t="s">
        <v>969</v>
      </c>
      <c r="Y107" s="23" t="s">
        <v>956</v>
      </c>
      <c r="Z107" s="22" t="s">
        <v>889</v>
      </c>
      <c r="AA107" s="22"/>
      <c r="AB107" s="23">
        <f>_xlfn.XLOOKUP(E107,nomen!A:A,nomen!C:C,0)</f>
        <v>297</v>
      </c>
      <c r="AC107" s="23"/>
      <c r="AD107" s="27"/>
      <c r="AE107" s="27"/>
      <c r="AF107" s="27" t="s">
        <v>179</v>
      </c>
      <c r="AG107" s="30">
        <v>1.0999999999999999E-2</v>
      </c>
      <c r="AH107" s="24"/>
      <c r="AI107" s="21"/>
    </row>
    <row r="108" spans="1:35" x14ac:dyDescent="0.3">
      <c r="A108" s="22">
        <v>96</v>
      </c>
      <c r="B108" s="23">
        <v>4673746973042</v>
      </c>
      <c r="C108" s="26" t="s">
        <v>501</v>
      </c>
      <c r="D108" s="22" t="s">
        <v>502</v>
      </c>
      <c r="E108" s="22" t="s">
        <v>502</v>
      </c>
      <c r="F108" s="27" t="s">
        <v>1944</v>
      </c>
      <c r="G108" s="27"/>
      <c r="H108" s="27" t="s">
        <v>501</v>
      </c>
      <c r="I108" s="24">
        <v>799.18032786885249</v>
      </c>
      <c r="J108" s="28">
        <v>0.22</v>
      </c>
      <c r="K108" s="23">
        <v>975</v>
      </c>
      <c r="L108" s="23">
        <v>975</v>
      </c>
      <c r="M108" s="29" t="s">
        <v>309</v>
      </c>
      <c r="N108" s="23" t="s">
        <v>960</v>
      </c>
      <c r="O108" s="29" t="s">
        <v>309</v>
      </c>
      <c r="P108" s="29"/>
      <c r="Q108" s="29"/>
      <c r="R108" s="22"/>
      <c r="S108" s="23">
        <v>1</v>
      </c>
      <c r="T108" s="22"/>
      <c r="U108" s="22"/>
      <c r="V108" s="27"/>
      <c r="W108" s="23">
        <v>100</v>
      </c>
      <c r="X108" s="23">
        <v>100</v>
      </c>
      <c r="Y108" s="23">
        <v>50</v>
      </c>
      <c r="Z108" s="22" t="s">
        <v>889</v>
      </c>
      <c r="AA108" s="22"/>
      <c r="AB108" s="23">
        <f>_xlfn.XLOOKUP(E108,nomen!A:A,nomen!C:C,0)</f>
        <v>14</v>
      </c>
      <c r="AC108" s="23"/>
      <c r="AD108" s="27"/>
      <c r="AE108" s="27"/>
      <c r="AF108" s="27" t="s">
        <v>179</v>
      </c>
      <c r="AG108" s="30">
        <v>0.1</v>
      </c>
      <c r="AH108" s="24"/>
      <c r="AI108" s="21"/>
    </row>
    <row r="109" spans="1:35" x14ac:dyDescent="0.3">
      <c r="A109" s="22">
        <v>97</v>
      </c>
      <c r="B109" s="23">
        <v>4652245476230</v>
      </c>
      <c r="C109" s="26" t="s">
        <v>503</v>
      </c>
      <c r="D109" s="22" t="s">
        <v>504</v>
      </c>
      <c r="E109" s="22" t="s">
        <v>504</v>
      </c>
      <c r="F109" s="27" t="s">
        <v>1944</v>
      </c>
      <c r="G109" s="27"/>
      <c r="H109" s="27" t="s">
        <v>503</v>
      </c>
      <c r="I109" s="24">
        <v>172.13114754098362</v>
      </c>
      <c r="J109" s="28">
        <v>0.22</v>
      </c>
      <c r="K109" s="23">
        <v>210</v>
      </c>
      <c r="L109" s="23">
        <v>210</v>
      </c>
      <c r="M109" s="29" t="s">
        <v>309</v>
      </c>
      <c r="N109" s="23" t="s">
        <v>913</v>
      </c>
      <c r="O109" s="29" t="s">
        <v>309</v>
      </c>
      <c r="P109" s="29"/>
      <c r="Q109" s="29"/>
      <c r="R109" s="22"/>
      <c r="S109" s="23">
        <v>1</v>
      </c>
      <c r="T109" s="22"/>
      <c r="U109" s="22"/>
      <c r="V109" s="27"/>
      <c r="W109" s="23" t="s">
        <v>897</v>
      </c>
      <c r="X109" s="23" t="s">
        <v>897</v>
      </c>
      <c r="Y109" s="23" t="s">
        <v>903</v>
      </c>
      <c r="Z109" s="22" t="s">
        <v>889</v>
      </c>
      <c r="AA109" s="22"/>
      <c r="AB109" s="23">
        <f>_xlfn.XLOOKUP(E109,nomen!A:A,nomen!C:C,0)</f>
        <v>555</v>
      </c>
      <c r="AC109" s="23"/>
      <c r="AD109" s="27"/>
      <c r="AE109" s="27"/>
      <c r="AF109" s="27" t="s">
        <v>179</v>
      </c>
      <c r="AG109" s="30">
        <v>0.8</v>
      </c>
      <c r="AH109" s="24"/>
      <c r="AI109" s="21"/>
    </row>
    <row r="110" spans="1:35" x14ac:dyDescent="0.3">
      <c r="A110" s="22">
        <v>98</v>
      </c>
      <c r="B110" s="23">
        <v>2037427399385</v>
      </c>
      <c r="C110" s="26" t="s">
        <v>505</v>
      </c>
      <c r="D110" s="22" t="s">
        <v>506</v>
      </c>
      <c r="E110" s="22" t="s">
        <v>506</v>
      </c>
      <c r="F110" s="27" t="s">
        <v>1944</v>
      </c>
      <c r="G110" s="27"/>
      <c r="H110" s="27" t="s">
        <v>505</v>
      </c>
      <c r="I110" s="24">
        <v>2081.1475409836066</v>
      </c>
      <c r="J110" s="28">
        <v>0.22</v>
      </c>
      <c r="K110" s="23">
        <v>2539</v>
      </c>
      <c r="L110" s="23">
        <v>2539</v>
      </c>
      <c r="M110" s="29" t="s">
        <v>309</v>
      </c>
      <c r="N110" s="23" t="s">
        <v>970</v>
      </c>
      <c r="O110" s="29" t="s">
        <v>309</v>
      </c>
      <c r="P110" s="29"/>
      <c r="Q110" s="29"/>
      <c r="R110" s="22"/>
      <c r="S110" s="23">
        <v>1</v>
      </c>
      <c r="T110" s="22"/>
      <c r="U110" s="22"/>
      <c r="V110" s="27"/>
      <c r="W110" s="23" t="s">
        <v>904</v>
      </c>
      <c r="X110" s="23" t="s">
        <v>898</v>
      </c>
      <c r="Y110" s="23" t="s">
        <v>904</v>
      </c>
      <c r="Z110" s="22" t="s">
        <v>889</v>
      </c>
      <c r="AA110" s="22"/>
      <c r="AB110" s="23">
        <f>_xlfn.XLOOKUP(E110,nomen!A:A,nomen!C:C,0)</f>
        <v>214</v>
      </c>
      <c r="AC110" s="23"/>
      <c r="AD110" s="27"/>
      <c r="AE110" s="27"/>
      <c r="AF110" s="27" t="s">
        <v>179</v>
      </c>
      <c r="AG110" s="30">
        <v>20.5</v>
      </c>
      <c r="AH110" s="24"/>
      <c r="AI110" s="21"/>
    </row>
    <row r="111" spans="1:35" x14ac:dyDescent="0.3">
      <c r="A111" s="22">
        <v>99</v>
      </c>
      <c r="B111" s="23">
        <v>4673746970430</v>
      </c>
      <c r="C111" s="26" t="s">
        <v>507</v>
      </c>
      <c r="D111" s="22" t="s">
        <v>508</v>
      </c>
      <c r="E111" s="22" t="s">
        <v>508</v>
      </c>
      <c r="F111" s="27" t="s">
        <v>1944</v>
      </c>
      <c r="G111" s="27"/>
      <c r="H111" s="27" t="s">
        <v>507</v>
      </c>
      <c r="I111" s="24">
        <v>180.32786885245903</v>
      </c>
      <c r="J111" s="28">
        <v>0.22</v>
      </c>
      <c r="K111" s="23">
        <v>220</v>
      </c>
      <c r="L111" s="23">
        <v>220</v>
      </c>
      <c r="M111" s="29" t="s">
        <v>309</v>
      </c>
      <c r="N111" s="23" t="s">
        <v>904</v>
      </c>
      <c r="O111" s="29" t="s">
        <v>309</v>
      </c>
      <c r="P111" s="29"/>
      <c r="Q111" s="29"/>
      <c r="R111" s="22"/>
      <c r="S111" s="23">
        <v>1</v>
      </c>
      <c r="T111" s="22"/>
      <c r="U111" s="22"/>
      <c r="V111" s="27"/>
      <c r="W111" s="23" t="s">
        <v>917</v>
      </c>
      <c r="X111" s="23" t="s">
        <v>917</v>
      </c>
      <c r="Y111" s="23" t="s">
        <v>918</v>
      </c>
      <c r="Z111" s="22" t="s">
        <v>889</v>
      </c>
      <c r="AA111" s="22"/>
      <c r="AB111" s="23">
        <f>_xlfn.XLOOKUP(E111,nomen!A:A,nomen!C:C,0)</f>
        <v>0</v>
      </c>
      <c r="AC111" s="23"/>
      <c r="AD111" s="27"/>
      <c r="AE111" s="27"/>
      <c r="AF111" s="27" t="s">
        <v>179</v>
      </c>
      <c r="AG111" s="30">
        <v>0.2</v>
      </c>
      <c r="AH111" s="24"/>
      <c r="AI111" s="21"/>
    </row>
    <row r="112" spans="1:35" x14ac:dyDescent="0.3">
      <c r="A112" s="22">
        <v>100</v>
      </c>
      <c r="B112" s="23">
        <v>2037427400128</v>
      </c>
      <c r="C112" s="26" t="s">
        <v>509</v>
      </c>
      <c r="D112" s="22" t="s">
        <v>510</v>
      </c>
      <c r="E112" s="22" t="s">
        <v>510</v>
      </c>
      <c r="F112" s="27" t="s">
        <v>1944</v>
      </c>
      <c r="G112" s="27"/>
      <c r="H112" s="27" t="s">
        <v>509</v>
      </c>
      <c r="I112" s="24">
        <v>1131.1475409836066</v>
      </c>
      <c r="J112" s="28">
        <v>0.22</v>
      </c>
      <c r="K112" s="23">
        <v>1380</v>
      </c>
      <c r="L112" s="23">
        <v>1380</v>
      </c>
      <c r="M112" s="29" t="s">
        <v>309</v>
      </c>
      <c r="N112" s="23" t="s">
        <v>951</v>
      </c>
      <c r="O112" s="29" t="s">
        <v>309</v>
      </c>
      <c r="P112" s="29"/>
      <c r="Q112" s="29"/>
      <c r="R112" s="22"/>
      <c r="S112" s="23">
        <v>1</v>
      </c>
      <c r="T112" s="22"/>
      <c r="U112" s="22"/>
      <c r="V112" s="27"/>
      <c r="W112" s="23" t="s">
        <v>907</v>
      </c>
      <c r="X112" s="23" t="s">
        <v>908</v>
      </c>
      <c r="Y112" s="23" t="s">
        <v>909</v>
      </c>
      <c r="Z112" s="22" t="s">
        <v>889</v>
      </c>
      <c r="AA112" s="22"/>
      <c r="AB112" s="23">
        <f>_xlfn.XLOOKUP(E112,nomen!A:A,nomen!C:C,0)</f>
        <v>109</v>
      </c>
      <c r="AC112" s="23"/>
      <c r="AD112" s="27"/>
      <c r="AE112" s="27"/>
      <c r="AF112" s="27" t="s">
        <v>179</v>
      </c>
      <c r="AG112" s="30">
        <v>5</v>
      </c>
      <c r="AH112" s="24"/>
      <c r="AI112" s="21"/>
    </row>
    <row r="113" spans="1:35" x14ac:dyDescent="0.3">
      <c r="A113" s="22">
        <v>101</v>
      </c>
      <c r="B113" s="23">
        <v>4673746971970</v>
      </c>
      <c r="C113" s="26" t="s">
        <v>511</v>
      </c>
      <c r="D113" s="22" t="s">
        <v>512</v>
      </c>
      <c r="E113" s="22" t="s">
        <v>512</v>
      </c>
      <c r="F113" s="27" t="s">
        <v>1944</v>
      </c>
      <c r="G113" s="27"/>
      <c r="H113" s="27" t="s">
        <v>511</v>
      </c>
      <c r="I113" s="24">
        <v>376.22950819672133</v>
      </c>
      <c r="J113" s="28">
        <v>0.22</v>
      </c>
      <c r="K113" s="23">
        <v>459</v>
      </c>
      <c r="L113" s="23">
        <v>459</v>
      </c>
      <c r="M113" s="29" t="s">
        <v>309</v>
      </c>
      <c r="N113" s="23" t="s">
        <v>971</v>
      </c>
      <c r="O113" s="29" t="s">
        <v>309</v>
      </c>
      <c r="P113" s="29"/>
      <c r="Q113" s="29"/>
      <c r="R113" s="22"/>
      <c r="S113" s="23">
        <v>1</v>
      </c>
      <c r="T113" s="22"/>
      <c r="U113" s="22"/>
      <c r="V113" s="27"/>
      <c r="W113" s="23" t="s">
        <v>893</v>
      </c>
      <c r="X113" s="23">
        <v>80</v>
      </c>
      <c r="Y113" s="23">
        <v>80</v>
      </c>
      <c r="Z113" s="22" t="s">
        <v>889</v>
      </c>
      <c r="AA113" s="22"/>
      <c r="AB113" s="23">
        <f>_xlfn.XLOOKUP(E113,nomen!A:A,nomen!C:C,0)</f>
        <v>296</v>
      </c>
      <c r="AC113" s="23"/>
      <c r="AD113" s="27"/>
      <c r="AE113" s="27"/>
      <c r="AF113" s="27" t="s">
        <v>179</v>
      </c>
      <c r="AG113" s="30">
        <v>0.4</v>
      </c>
      <c r="AH113" s="24"/>
      <c r="AI113" s="21"/>
    </row>
    <row r="114" spans="1:35" x14ac:dyDescent="0.3">
      <c r="A114" s="22">
        <v>102</v>
      </c>
      <c r="B114" s="23">
        <v>4673746972472</v>
      </c>
      <c r="C114" s="26" t="s">
        <v>513</v>
      </c>
      <c r="D114" s="22" t="s">
        <v>514</v>
      </c>
      <c r="E114" s="22" t="s">
        <v>514</v>
      </c>
      <c r="F114" s="27" t="s">
        <v>1944</v>
      </c>
      <c r="G114" s="27"/>
      <c r="H114" s="27" t="s">
        <v>513</v>
      </c>
      <c r="I114" s="24">
        <v>81.967213114754102</v>
      </c>
      <c r="J114" s="28">
        <v>0.22</v>
      </c>
      <c r="K114" s="23">
        <v>100</v>
      </c>
      <c r="L114" s="23">
        <v>100</v>
      </c>
      <c r="M114" s="29" t="s">
        <v>309</v>
      </c>
      <c r="N114" s="23" t="s">
        <v>890</v>
      </c>
      <c r="O114" s="29" t="s">
        <v>309</v>
      </c>
      <c r="P114" s="29"/>
      <c r="Q114" s="29"/>
      <c r="R114" s="22"/>
      <c r="S114" s="23">
        <v>1</v>
      </c>
      <c r="T114" s="22"/>
      <c r="U114" s="22"/>
      <c r="V114" s="27"/>
      <c r="W114" s="23">
        <v>100</v>
      </c>
      <c r="X114" s="23">
        <v>100</v>
      </c>
      <c r="Y114" s="23">
        <v>50</v>
      </c>
      <c r="Z114" s="22" t="s">
        <v>889</v>
      </c>
      <c r="AA114" s="22"/>
      <c r="AB114" s="23">
        <f>_xlfn.XLOOKUP(E114,nomen!A:A,nomen!C:C,0)</f>
        <v>2889</v>
      </c>
      <c r="AC114" s="23"/>
      <c r="AD114" s="27"/>
      <c r="AE114" s="27"/>
      <c r="AF114" s="27" t="s">
        <v>179</v>
      </c>
      <c r="AG114" s="30">
        <v>0.2</v>
      </c>
      <c r="AH114" s="24"/>
      <c r="AI114" s="21"/>
    </row>
    <row r="115" spans="1:35" x14ac:dyDescent="0.3">
      <c r="A115" s="22">
        <v>103</v>
      </c>
      <c r="B115" s="23">
        <v>4673746971529</v>
      </c>
      <c r="C115" s="26" t="s">
        <v>515</v>
      </c>
      <c r="D115" s="22" t="s">
        <v>516</v>
      </c>
      <c r="E115" s="22" t="s">
        <v>516</v>
      </c>
      <c r="F115" s="27" t="s">
        <v>1944</v>
      </c>
      <c r="G115" s="27"/>
      <c r="H115" s="27" t="s">
        <v>515</v>
      </c>
      <c r="I115" s="24">
        <v>1127.049180327869</v>
      </c>
      <c r="J115" s="28">
        <v>0.22</v>
      </c>
      <c r="K115" s="23">
        <v>1375</v>
      </c>
      <c r="L115" s="23">
        <v>1375</v>
      </c>
      <c r="M115" s="29" t="s">
        <v>309</v>
      </c>
      <c r="N115" s="23" t="s">
        <v>951</v>
      </c>
      <c r="O115" s="29" t="s">
        <v>309</v>
      </c>
      <c r="P115" s="29"/>
      <c r="Q115" s="29"/>
      <c r="R115" s="22"/>
      <c r="S115" s="23">
        <v>1</v>
      </c>
      <c r="T115" s="22"/>
      <c r="U115" s="22"/>
      <c r="V115" s="27"/>
      <c r="W115" s="23" t="s">
        <v>907</v>
      </c>
      <c r="X115" s="23" t="s">
        <v>908</v>
      </c>
      <c r="Y115" s="23" t="s">
        <v>909</v>
      </c>
      <c r="Z115" s="22" t="s">
        <v>889</v>
      </c>
      <c r="AA115" s="22"/>
      <c r="AB115" s="23">
        <f>_xlfn.XLOOKUP(E115,nomen!A:A,nomen!C:C,0)</f>
        <v>18</v>
      </c>
      <c r="AC115" s="23"/>
      <c r="AD115" s="27"/>
      <c r="AE115" s="27"/>
      <c r="AF115" s="27" t="s">
        <v>179</v>
      </c>
      <c r="AG115" s="30">
        <v>5</v>
      </c>
      <c r="AH115" s="24"/>
      <c r="AI115" s="21"/>
    </row>
    <row r="116" spans="1:35" x14ac:dyDescent="0.3">
      <c r="A116" s="22">
        <v>104</v>
      </c>
      <c r="B116" s="23">
        <v>4673746972281</v>
      </c>
      <c r="C116" s="26" t="s">
        <v>517</v>
      </c>
      <c r="D116" s="22" t="s">
        <v>518</v>
      </c>
      <c r="E116" s="22" t="s">
        <v>518</v>
      </c>
      <c r="F116" s="27" t="s">
        <v>1944</v>
      </c>
      <c r="G116" s="27"/>
      <c r="H116" s="27" t="s">
        <v>517</v>
      </c>
      <c r="I116" s="24">
        <v>537.70491803278685</v>
      </c>
      <c r="J116" s="28">
        <v>0.22</v>
      </c>
      <c r="K116" s="23">
        <v>656</v>
      </c>
      <c r="L116" s="23">
        <v>656</v>
      </c>
      <c r="M116" s="29" t="s">
        <v>309</v>
      </c>
      <c r="N116" s="23" t="s">
        <v>944</v>
      </c>
      <c r="O116" s="29" t="s">
        <v>309</v>
      </c>
      <c r="P116" s="29"/>
      <c r="Q116" s="29"/>
      <c r="R116" s="22"/>
      <c r="S116" s="23">
        <v>1</v>
      </c>
      <c r="T116" s="22"/>
      <c r="U116" s="22"/>
      <c r="V116" s="27"/>
      <c r="W116" s="23">
        <v>100</v>
      </c>
      <c r="X116" s="23">
        <v>100</v>
      </c>
      <c r="Y116" s="23">
        <v>50</v>
      </c>
      <c r="Z116" s="22" t="s">
        <v>889</v>
      </c>
      <c r="AA116" s="22"/>
      <c r="AB116" s="23">
        <f>_xlfn.XLOOKUP(E116,nomen!A:A,nomen!C:C,0)</f>
        <v>313</v>
      </c>
      <c r="AC116" s="23"/>
      <c r="AD116" s="27"/>
      <c r="AE116" s="27"/>
      <c r="AF116" s="27" t="s">
        <v>179</v>
      </c>
      <c r="AG116" s="30">
        <v>0.3</v>
      </c>
      <c r="AH116" s="24"/>
      <c r="AI116" s="21"/>
    </row>
    <row r="117" spans="1:35" x14ac:dyDescent="0.3">
      <c r="A117" s="22">
        <v>105</v>
      </c>
      <c r="B117" s="23">
        <v>2037427398821</v>
      </c>
      <c r="C117" s="26" t="s">
        <v>519</v>
      </c>
      <c r="D117" s="22" t="s">
        <v>520</v>
      </c>
      <c r="E117" s="22" t="s">
        <v>520</v>
      </c>
      <c r="F117" s="27" t="s">
        <v>1944</v>
      </c>
      <c r="G117" s="27"/>
      <c r="H117" s="27" t="s">
        <v>519</v>
      </c>
      <c r="I117" s="24">
        <v>1903.2786885245903</v>
      </c>
      <c r="J117" s="28">
        <v>0.22</v>
      </c>
      <c r="K117" s="23">
        <v>2322</v>
      </c>
      <c r="L117" s="23">
        <v>2322</v>
      </c>
      <c r="M117" s="29" t="s">
        <v>309</v>
      </c>
      <c r="N117" s="23" t="s">
        <v>961</v>
      </c>
      <c r="O117" s="29" t="s">
        <v>309</v>
      </c>
      <c r="P117" s="29"/>
      <c r="Q117" s="29"/>
      <c r="R117" s="22"/>
      <c r="S117" s="23">
        <v>1</v>
      </c>
      <c r="T117" s="22"/>
      <c r="U117" s="22"/>
      <c r="V117" s="27"/>
      <c r="W117" s="23" t="s">
        <v>897</v>
      </c>
      <c r="X117" s="23" t="s">
        <v>897</v>
      </c>
      <c r="Y117" s="23" t="s">
        <v>911</v>
      </c>
      <c r="Z117" s="22" t="s">
        <v>889</v>
      </c>
      <c r="AA117" s="22"/>
      <c r="AB117" s="23">
        <f>_xlfn.XLOOKUP(E117,nomen!A:A,nomen!C:C,0)</f>
        <v>163</v>
      </c>
      <c r="AC117" s="23"/>
      <c r="AD117" s="27"/>
      <c r="AE117" s="27"/>
      <c r="AF117" s="27" t="s">
        <v>179</v>
      </c>
      <c r="AG117" s="30">
        <v>8</v>
      </c>
      <c r="AH117" s="24"/>
      <c r="AI117" s="21"/>
    </row>
    <row r="118" spans="1:35" x14ac:dyDescent="0.3">
      <c r="A118" s="22">
        <v>106</v>
      </c>
      <c r="B118" s="23">
        <v>4673746973066</v>
      </c>
      <c r="C118" s="26" t="s">
        <v>521</v>
      </c>
      <c r="D118" s="22" t="s">
        <v>522</v>
      </c>
      <c r="E118" s="22" t="s">
        <v>522</v>
      </c>
      <c r="F118" s="27" t="s">
        <v>1944</v>
      </c>
      <c r="G118" s="27"/>
      <c r="H118" s="27" t="s">
        <v>521</v>
      </c>
      <c r="I118" s="24">
        <v>2054.0983606557379</v>
      </c>
      <c r="J118" s="28">
        <v>0.22</v>
      </c>
      <c r="K118" s="23">
        <v>2506</v>
      </c>
      <c r="L118" s="23">
        <v>2506</v>
      </c>
      <c r="M118" s="29" t="s">
        <v>309</v>
      </c>
      <c r="N118" s="23" t="s">
        <v>972</v>
      </c>
      <c r="O118" s="29" t="s">
        <v>309</v>
      </c>
      <c r="P118" s="29"/>
      <c r="Q118" s="29"/>
      <c r="R118" s="22"/>
      <c r="S118" s="23">
        <v>1</v>
      </c>
      <c r="T118" s="22"/>
      <c r="U118" s="22"/>
      <c r="V118" s="27"/>
      <c r="W118" s="23">
        <v>100</v>
      </c>
      <c r="X118" s="23">
        <v>100</v>
      </c>
      <c r="Y118" s="23">
        <v>50</v>
      </c>
      <c r="Z118" s="22" t="s">
        <v>889</v>
      </c>
      <c r="AA118" s="22"/>
      <c r="AB118" s="23">
        <f>_xlfn.XLOOKUP(E118,nomen!A:A,nomen!C:C,0)</f>
        <v>67</v>
      </c>
      <c r="AC118" s="23"/>
      <c r="AD118" s="27"/>
      <c r="AE118" s="27"/>
      <c r="AF118" s="27" t="s">
        <v>179</v>
      </c>
      <c r="AG118" s="30">
        <v>0.1</v>
      </c>
      <c r="AH118" s="24"/>
      <c r="AI118" s="21"/>
    </row>
    <row r="119" spans="1:35" x14ac:dyDescent="0.3">
      <c r="A119" s="22">
        <v>107</v>
      </c>
      <c r="B119" s="23">
        <v>4673746972809</v>
      </c>
      <c r="C119" s="26" t="s">
        <v>523</v>
      </c>
      <c r="D119" s="22" t="s">
        <v>524</v>
      </c>
      <c r="E119" s="22" t="s">
        <v>524</v>
      </c>
      <c r="F119" s="27" t="s">
        <v>1944</v>
      </c>
      <c r="G119" s="27"/>
      <c r="H119" s="27" t="s">
        <v>523</v>
      </c>
      <c r="I119" s="24">
        <v>190.1639344262295</v>
      </c>
      <c r="J119" s="28">
        <v>0.22</v>
      </c>
      <c r="K119" s="23">
        <v>232</v>
      </c>
      <c r="L119" s="23">
        <v>232</v>
      </c>
      <c r="M119" s="29" t="s">
        <v>309</v>
      </c>
      <c r="N119" s="23" t="s">
        <v>904</v>
      </c>
      <c r="O119" s="29" t="s">
        <v>309</v>
      </c>
      <c r="P119" s="29"/>
      <c r="Q119" s="29"/>
      <c r="R119" s="22"/>
      <c r="S119" s="23">
        <v>1</v>
      </c>
      <c r="T119" s="22"/>
      <c r="U119" s="22"/>
      <c r="V119" s="27"/>
      <c r="W119" s="23">
        <v>100</v>
      </c>
      <c r="X119" s="23">
        <v>100</v>
      </c>
      <c r="Y119" s="23">
        <v>50</v>
      </c>
      <c r="Z119" s="22" t="s">
        <v>889</v>
      </c>
      <c r="AA119" s="22"/>
      <c r="AB119" s="23">
        <f>_xlfn.XLOOKUP(E119,nomen!A:A,nomen!C:C,0)</f>
        <v>379</v>
      </c>
      <c r="AC119" s="23"/>
      <c r="AD119" s="27"/>
      <c r="AE119" s="27"/>
      <c r="AF119" s="27" t="s">
        <v>179</v>
      </c>
      <c r="AG119" s="30">
        <v>0.1</v>
      </c>
      <c r="AH119" s="24"/>
      <c r="AI119" s="21"/>
    </row>
    <row r="120" spans="1:35" x14ac:dyDescent="0.3">
      <c r="A120" s="22">
        <v>108</v>
      </c>
      <c r="B120" s="23">
        <v>2037427399088</v>
      </c>
      <c r="C120" s="26" t="s">
        <v>525</v>
      </c>
      <c r="D120" s="22" t="s">
        <v>526</v>
      </c>
      <c r="E120" s="22" t="s">
        <v>526</v>
      </c>
      <c r="F120" s="27" t="s">
        <v>1944</v>
      </c>
      <c r="G120" s="27"/>
      <c r="H120" s="27" t="s">
        <v>525</v>
      </c>
      <c r="I120" s="24">
        <v>2266.3934426229507</v>
      </c>
      <c r="J120" s="28">
        <v>0.22</v>
      </c>
      <c r="K120" s="23">
        <v>2765</v>
      </c>
      <c r="L120" s="23">
        <v>2765</v>
      </c>
      <c r="M120" s="29" t="s">
        <v>309</v>
      </c>
      <c r="N120" s="23" t="s">
        <v>973</v>
      </c>
      <c r="O120" s="29" t="s">
        <v>309</v>
      </c>
      <c r="P120" s="29"/>
      <c r="Q120" s="29"/>
      <c r="R120" s="22"/>
      <c r="S120" s="23">
        <v>1</v>
      </c>
      <c r="T120" s="22"/>
      <c r="U120" s="22"/>
      <c r="V120" s="27"/>
      <c r="W120" s="23" t="s">
        <v>904</v>
      </c>
      <c r="X120" s="23" t="s">
        <v>898</v>
      </c>
      <c r="Y120" s="23" t="s">
        <v>904</v>
      </c>
      <c r="Z120" s="22" t="s">
        <v>889</v>
      </c>
      <c r="AA120" s="22"/>
      <c r="AB120" s="23">
        <f>_xlfn.XLOOKUP(E120,nomen!A:A,nomen!C:C,0)</f>
        <v>199</v>
      </c>
      <c r="AC120" s="23"/>
      <c r="AD120" s="27"/>
      <c r="AE120" s="27"/>
      <c r="AF120" s="27" t="s">
        <v>179</v>
      </c>
      <c r="AG120" s="30">
        <v>20.5</v>
      </c>
      <c r="AH120" s="24"/>
      <c r="AI120" s="21"/>
    </row>
    <row r="121" spans="1:35" x14ac:dyDescent="0.3">
      <c r="A121" s="22">
        <v>109</v>
      </c>
      <c r="B121" s="23">
        <v>4673746970195</v>
      </c>
      <c r="C121" s="26" t="s">
        <v>527</v>
      </c>
      <c r="D121" s="22" t="s">
        <v>528</v>
      </c>
      <c r="E121" s="22" t="s">
        <v>528</v>
      </c>
      <c r="F121" s="27" t="s">
        <v>1944</v>
      </c>
      <c r="G121" s="27"/>
      <c r="H121" s="27" t="s">
        <v>527</v>
      </c>
      <c r="I121" s="24">
        <v>304.09836065573774</v>
      </c>
      <c r="J121" s="28">
        <v>0.22</v>
      </c>
      <c r="K121" s="23">
        <v>371</v>
      </c>
      <c r="L121" s="23">
        <v>371</v>
      </c>
      <c r="M121" s="29" t="s">
        <v>309</v>
      </c>
      <c r="N121" s="23" t="s">
        <v>902</v>
      </c>
      <c r="O121" s="29" t="s">
        <v>309</v>
      </c>
      <c r="P121" s="29"/>
      <c r="Q121" s="29"/>
      <c r="R121" s="22"/>
      <c r="S121" s="23">
        <v>1</v>
      </c>
      <c r="T121" s="22"/>
      <c r="U121" s="22"/>
      <c r="V121" s="27"/>
      <c r="W121" s="23" t="s">
        <v>917</v>
      </c>
      <c r="X121" s="23" t="s">
        <v>917</v>
      </c>
      <c r="Y121" s="23" t="s">
        <v>918</v>
      </c>
      <c r="Z121" s="22" t="s">
        <v>889</v>
      </c>
      <c r="AA121" s="22"/>
      <c r="AB121" s="23">
        <f>_xlfn.XLOOKUP(E121,nomen!A:A,nomen!C:C,0)</f>
        <v>0</v>
      </c>
      <c r="AC121" s="23"/>
      <c r="AD121" s="27"/>
      <c r="AE121" s="27"/>
      <c r="AF121" s="27" t="s">
        <v>179</v>
      </c>
      <c r="AG121" s="30">
        <v>0.2</v>
      </c>
      <c r="AH121" s="24"/>
      <c r="AI121" s="21"/>
    </row>
    <row r="122" spans="1:35" x14ac:dyDescent="0.3">
      <c r="A122" s="22">
        <v>110</v>
      </c>
      <c r="B122" s="23">
        <v>4673746972601</v>
      </c>
      <c r="C122" s="26" t="s">
        <v>529</v>
      </c>
      <c r="D122" s="22" t="s">
        <v>530</v>
      </c>
      <c r="E122" s="22" t="s">
        <v>530</v>
      </c>
      <c r="F122" s="27" t="s">
        <v>1944</v>
      </c>
      <c r="G122" s="27"/>
      <c r="H122" s="27" t="s">
        <v>529</v>
      </c>
      <c r="I122" s="24">
        <v>429.50819672131149</v>
      </c>
      <c r="J122" s="28">
        <v>0.22</v>
      </c>
      <c r="K122" s="23">
        <v>524</v>
      </c>
      <c r="L122" s="23">
        <v>524</v>
      </c>
      <c r="M122" s="29" t="s">
        <v>309</v>
      </c>
      <c r="N122" s="23" t="s">
        <v>959</v>
      </c>
      <c r="O122" s="29" t="s">
        <v>309</v>
      </c>
      <c r="P122" s="29"/>
      <c r="Q122" s="29"/>
      <c r="R122" s="22"/>
      <c r="S122" s="23">
        <v>1</v>
      </c>
      <c r="T122" s="22"/>
      <c r="U122" s="22"/>
      <c r="V122" s="27"/>
      <c r="W122" s="23">
        <v>100</v>
      </c>
      <c r="X122" s="23">
        <v>100</v>
      </c>
      <c r="Y122" s="23">
        <v>50</v>
      </c>
      <c r="Z122" s="22" t="s">
        <v>889</v>
      </c>
      <c r="AA122" s="22"/>
      <c r="AB122" s="23">
        <f>_xlfn.XLOOKUP(E122,nomen!A:A,nomen!C:C,0)</f>
        <v>302</v>
      </c>
      <c r="AC122" s="23"/>
      <c r="AD122" s="27"/>
      <c r="AE122" s="27"/>
      <c r="AF122" s="27" t="s">
        <v>179</v>
      </c>
      <c r="AG122" s="30">
        <v>0.8</v>
      </c>
      <c r="AH122" s="24"/>
      <c r="AI122" s="21"/>
    </row>
    <row r="123" spans="1:35" ht="27.6" x14ac:dyDescent="0.3">
      <c r="A123" s="22">
        <v>111</v>
      </c>
      <c r="B123" s="23">
        <v>4673746972502</v>
      </c>
      <c r="C123" s="26" t="s">
        <v>531</v>
      </c>
      <c r="D123" s="22" t="s">
        <v>532</v>
      </c>
      <c r="E123" s="22" t="s">
        <v>532</v>
      </c>
      <c r="F123" s="27" t="s">
        <v>1944</v>
      </c>
      <c r="G123" s="27"/>
      <c r="H123" s="27" t="s">
        <v>531</v>
      </c>
      <c r="I123" s="24">
        <v>47162.295081967211</v>
      </c>
      <c r="J123" s="28">
        <v>0.22</v>
      </c>
      <c r="K123" s="23">
        <v>57538</v>
      </c>
      <c r="L123" s="23">
        <v>57538</v>
      </c>
      <c r="M123" s="29" t="s">
        <v>309</v>
      </c>
      <c r="N123" s="23" t="s">
        <v>974</v>
      </c>
      <c r="O123" s="29" t="s">
        <v>309</v>
      </c>
      <c r="P123" s="29"/>
      <c r="Q123" s="29"/>
      <c r="R123" s="22"/>
      <c r="S123" s="23">
        <v>1</v>
      </c>
      <c r="T123" s="22"/>
      <c r="U123" s="22"/>
      <c r="V123" s="27"/>
      <c r="W123" s="23">
        <v>100</v>
      </c>
      <c r="X123" s="23">
        <v>100</v>
      </c>
      <c r="Y123" s="23">
        <v>50</v>
      </c>
      <c r="Z123" s="22" t="s">
        <v>889</v>
      </c>
      <c r="AA123" s="22"/>
      <c r="AB123" s="23">
        <f>_xlfn.XLOOKUP(E123,nomen!A:A,nomen!C:C,0)</f>
        <v>1</v>
      </c>
      <c r="AC123" s="23"/>
      <c r="AD123" s="27"/>
      <c r="AE123" s="27"/>
      <c r="AF123" s="27" t="s">
        <v>179</v>
      </c>
      <c r="AG123" s="30">
        <v>12</v>
      </c>
      <c r="AH123" s="24"/>
      <c r="AI123" s="21"/>
    </row>
    <row r="124" spans="1:35" x14ac:dyDescent="0.3">
      <c r="A124" s="22">
        <v>112</v>
      </c>
      <c r="B124" s="23">
        <v>4673746974049</v>
      </c>
      <c r="C124" s="26" t="s">
        <v>533</v>
      </c>
      <c r="D124" s="22" t="s">
        <v>534</v>
      </c>
      <c r="E124" s="22" t="s">
        <v>534</v>
      </c>
      <c r="F124" s="27" t="s">
        <v>1944</v>
      </c>
      <c r="G124" s="27"/>
      <c r="H124" s="27" t="s">
        <v>533</v>
      </c>
      <c r="I124" s="24">
        <v>232.78688524590166</v>
      </c>
      <c r="J124" s="28">
        <v>0.22</v>
      </c>
      <c r="K124" s="23">
        <v>284</v>
      </c>
      <c r="L124" s="23">
        <v>284</v>
      </c>
      <c r="M124" s="29" t="s">
        <v>309</v>
      </c>
      <c r="N124" s="23" t="s">
        <v>910</v>
      </c>
      <c r="O124" s="29" t="s">
        <v>309</v>
      </c>
      <c r="P124" s="29"/>
      <c r="Q124" s="29"/>
      <c r="R124" s="22"/>
      <c r="S124" s="23">
        <v>1</v>
      </c>
      <c r="T124" s="22"/>
      <c r="U124" s="22"/>
      <c r="V124" s="27"/>
      <c r="W124" s="23" t="s">
        <v>893</v>
      </c>
      <c r="X124" s="23">
        <v>80</v>
      </c>
      <c r="Y124" s="23">
        <v>80</v>
      </c>
      <c r="Z124" s="22" t="s">
        <v>889</v>
      </c>
      <c r="AA124" s="22"/>
      <c r="AB124" s="23">
        <f>_xlfn.XLOOKUP(E124,nomen!A:A,nomen!C:C,0)</f>
        <v>0</v>
      </c>
      <c r="AC124" s="23"/>
      <c r="AD124" s="27"/>
      <c r="AE124" s="27"/>
      <c r="AF124" s="27" t="s">
        <v>179</v>
      </c>
      <c r="AG124" s="30">
        <v>0.3</v>
      </c>
      <c r="AH124" s="24"/>
      <c r="AI124" s="21"/>
    </row>
    <row r="125" spans="1:35" x14ac:dyDescent="0.3">
      <c r="A125" s="22">
        <v>113</v>
      </c>
      <c r="B125" s="23">
        <v>2037427398586</v>
      </c>
      <c r="C125" s="26" t="s">
        <v>535</v>
      </c>
      <c r="D125" s="22" t="s">
        <v>536</v>
      </c>
      <c r="E125" s="22" t="s">
        <v>536</v>
      </c>
      <c r="F125" s="27" t="s">
        <v>1944</v>
      </c>
      <c r="G125" s="27"/>
      <c r="H125" s="27" t="s">
        <v>535</v>
      </c>
      <c r="I125" s="24">
        <v>213.11475409836066</v>
      </c>
      <c r="J125" s="28">
        <v>0.22</v>
      </c>
      <c r="K125" s="23">
        <v>260</v>
      </c>
      <c r="L125" s="23">
        <v>260</v>
      </c>
      <c r="M125" s="29" t="s">
        <v>309</v>
      </c>
      <c r="N125" s="23" t="s">
        <v>910</v>
      </c>
      <c r="O125" s="29" t="s">
        <v>309</v>
      </c>
      <c r="P125" s="29"/>
      <c r="Q125" s="29"/>
      <c r="R125" s="22"/>
      <c r="S125" s="23">
        <v>1</v>
      </c>
      <c r="T125" s="22"/>
      <c r="U125" s="22"/>
      <c r="V125" s="27"/>
      <c r="W125" s="23" t="s">
        <v>936</v>
      </c>
      <c r="X125" s="23" t="s">
        <v>936</v>
      </c>
      <c r="Y125" s="23" t="s">
        <v>938</v>
      </c>
      <c r="Z125" s="22" t="s">
        <v>889</v>
      </c>
      <c r="AA125" s="22"/>
      <c r="AB125" s="23">
        <f>_xlfn.XLOOKUP(E125,nomen!A:A,nomen!C:C,0)</f>
        <v>0</v>
      </c>
      <c r="AC125" s="23"/>
      <c r="AD125" s="27"/>
      <c r="AE125" s="27"/>
      <c r="AF125" s="27" t="s">
        <v>179</v>
      </c>
      <c r="AG125" s="30">
        <v>3.3000000000000002E-2</v>
      </c>
      <c r="AH125" s="24"/>
      <c r="AI125" s="21"/>
    </row>
    <row r="126" spans="1:35" x14ac:dyDescent="0.3">
      <c r="A126" s="22">
        <v>114</v>
      </c>
      <c r="B126" s="23">
        <v>4673746972410</v>
      </c>
      <c r="C126" s="26" t="s">
        <v>537</v>
      </c>
      <c r="D126" s="22" t="s">
        <v>538</v>
      </c>
      <c r="E126" s="22" t="s">
        <v>538</v>
      </c>
      <c r="F126" s="27" t="s">
        <v>1944</v>
      </c>
      <c r="G126" s="27"/>
      <c r="H126" s="27" t="s">
        <v>537</v>
      </c>
      <c r="I126" s="24">
        <v>136.0655737704918</v>
      </c>
      <c r="J126" s="28">
        <v>0.22</v>
      </c>
      <c r="K126" s="23">
        <v>166</v>
      </c>
      <c r="L126" s="23">
        <v>166</v>
      </c>
      <c r="M126" s="29" t="s">
        <v>309</v>
      </c>
      <c r="N126" s="23" t="s">
        <v>909</v>
      </c>
      <c r="O126" s="29" t="s">
        <v>309</v>
      </c>
      <c r="P126" s="29"/>
      <c r="Q126" s="29"/>
      <c r="R126" s="22"/>
      <c r="S126" s="23">
        <v>1</v>
      </c>
      <c r="T126" s="22"/>
      <c r="U126" s="22"/>
      <c r="V126" s="27"/>
      <c r="W126" s="23">
        <v>100</v>
      </c>
      <c r="X126" s="23">
        <v>100</v>
      </c>
      <c r="Y126" s="23">
        <v>50</v>
      </c>
      <c r="Z126" s="22" t="s">
        <v>889</v>
      </c>
      <c r="AA126" s="22"/>
      <c r="AB126" s="23">
        <f>_xlfn.XLOOKUP(E126,nomen!A:A,nomen!C:C,0)</f>
        <v>2225</v>
      </c>
      <c r="AC126" s="23"/>
      <c r="AD126" s="27"/>
      <c r="AE126" s="27"/>
      <c r="AF126" s="27" t="s">
        <v>179</v>
      </c>
      <c r="AG126" s="30">
        <v>0.1</v>
      </c>
      <c r="AH126" s="24"/>
      <c r="AI126" s="21"/>
    </row>
    <row r="127" spans="1:35" x14ac:dyDescent="0.3">
      <c r="A127" s="22">
        <v>115</v>
      </c>
      <c r="B127" s="23">
        <v>4673746970317</v>
      </c>
      <c r="C127" s="26" t="s">
        <v>539</v>
      </c>
      <c r="D127" s="22" t="s">
        <v>540</v>
      </c>
      <c r="E127" s="22" t="s">
        <v>540</v>
      </c>
      <c r="F127" s="27" t="s">
        <v>1944</v>
      </c>
      <c r="G127" s="27"/>
      <c r="H127" s="27" t="s">
        <v>539</v>
      </c>
      <c r="I127" s="24">
        <v>1024.5901639344263</v>
      </c>
      <c r="J127" s="28">
        <v>0.22</v>
      </c>
      <c r="K127" s="23">
        <v>1250</v>
      </c>
      <c r="L127" s="23">
        <v>1250</v>
      </c>
      <c r="M127" s="29" t="s">
        <v>309</v>
      </c>
      <c r="N127" s="23" t="s">
        <v>949</v>
      </c>
      <c r="O127" s="29" t="s">
        <v>309</v>
      </c>
      <c r="P127" s="29"/>
      <c r="Q127" s="29"/>
      <c r="R127" s="22"/>
      <c r="S127" s="23">
        <v>1</v>
      </c>
      <c r="T127" s="22"/>
      <c r="U127" s="22"/>
      <c r="V127" s="27"/>
      <c r="W127" s="23" t="s">
        <v>907</v>
      </c>
      <c r="X127" s="23" t="s">
        <v>908</v>
      </c>
      <c r="Y127" s="23" t="s">
        <v>909</v>
      </c>
      <c r="Z127" s="22" t="s">
        <v>889</v>
      </c>
      <c r="AA127" s="22"/>
      <c r="AB127" s="23">
        <f>_xlfn.XLOOKUP(E127,nomen!A:A,nomen!C:C,0)</f>
        <v>5</v>
      </c>
      <c r="AC127" s="23"/>
      <c r="AD127" s="27"/>
      <c r="AE127" s="27"/>
      <c r="AF127" s="27" t="s">
        <v>179</v>
      </c>
      <c r="AG127" s="30">
        <v>5</v>
      </c>
      <c r="AH127" s="24"/>
      <c r="AI127" s="21"/>
    </row>
    <row r="128" spans="1:35" x14ac:dyDescent="0.3">
      <c r="A128" s="22">
        <v>116</v>
      </c>
      <c r="B128" s="23">
        <v>4673746972007</v>
      </c>
      <c r="C128" s="26" t="s">
        <v>541</v>
      </c>
      <c r="D128" s="22" t="s">
        <v>542</v>
      </c>
      <c r="E128" s="22" t="s">
        <v>542</v>
      </c>
      <c r="F128" s="27" t="s">
        <v>1944</v>
      </c>
      <c r="G128" s="27"/>
      <c r="H128" s="27" t="s">
        <v>541</v>
      </c>
      <c r="I128" s="24">
        <v>190.1639344262295</v>
      </c>
      <c r="J128" s="28">
        <v>0.22</v>
      </c>
      <c r="K128" s="23">
        <v>232</v>
      </c>
      <c r="L128" s="23">
        <v>232</v>
      </c>
      <c r="M128" s="29" t="s">
        <v>309</v>
      </c>
      <c r="N128" s="23" t="s">
        <v>904</v>
      </c>
      <c r="O128" s="29" t="s">
        <v>309</v>
      </c>
      <c r="P128" s="29"/>
      <c r="Q128" s="29"/>
      <c r="R128" s="22"/>
      <c r="S128" s="23">
        <v>1</v>
      </c>
      <c r="T128" s="22"/>
      <c r="U128" s="22"/>
      <c r="V128" s="27"/>
      <c r="W128" s="23">
        <v>100</v>
      </c>
      <c r="X128" s="23">
        <v>100</v>
      </c>
      <c r="Y128" s="23">
        <v>50</v>
      </c>
      <c r="Z128" s="22" t="s">
        <v>889</v>
      </c>
      <c r="AA128" s="22"/>
      <c r="AB128" s="23">
        <f>_xlfn.XLOOKUP(E128,nomen!A:A,nomen!C:C,0)</f>
        <v>817</v>
      </c>
      <c r="AC128" s="23"/>
      <c r="AD128" s="27"/>
      <c r="AE128" s="27"/>
      <c r="AF128" s="27" t="s">
        <v>179</v>
      </c>
      <c r="AG128" s="30">
        <v>0.1</v>
      </c>
      <c r="AH128" s="24"/>
      <c r="AI128" s="21"/>
    </row>
    <row r="129" spans="1:35" ht="27.6" x14ac:dyDescent="0.3">
      <c r="A129" s="22">
        <v>117</v>
      </c>
      <c r="B129" s="23">
        <v>4673746973905</v>
      </c>
      <c r="C129" s="26" t="s">
        <v>543</v>
      </c>
      <c r="D129" s="22" t="s">
        <v>544</v>
      </c>
      <c r="E129" s="22" t="s">
        <v>544</v>
      </c>
      <c r="F129" s="27" t="s">
        <v>1944</v>
      </c>
      <c r="G129" s="27"/>
      <c r="H129" s="27" t="s">
        <v>543</v>
      </c>
      <c r="I129" s="24">
        <v>1487.704918032787</v>
      </c>
      <c r="J129" s="28">
        <v>0.22</v>
      </c>
      <c r="K129" s="23">
        <v>1815</v>
      </c>
      <c r="L129" s="23">
        <v>1815</v>
      </c>
      <c r="M129" s="29" t="s">
        <v>309</v>
      </c>
      <c r="N129" s="23" t="s">
        <v>975</v>
      </c>
      <c r="O129" s="29" t="s">
        <v>309</v>
      </c>
      <c r="P129" s="29"/>
      <c r="Q129" s="29"/>
      <c r="R129" s="22"/>
      <c r="S129" s="23">
        <v>1</v>
      </c>
      <c r="T129" s="22"/>
      <c r="U129" s="22"/>
      <c r="V129" s="27"/>
      <c r="W129" s="23" t="s">
        <v>907</v>
      </c>
      <c r="X129" s="23" t="s">
        <v>908</v>
      </c>
      <c r="Y129" s="23" t="s">
        <v>909</v>
      </c>
      <c r="Z129" s="22" t="s">
        <v>889</v>
      </c>
      <c r="AA129" s="22"/>
      <c r="AB129" s="23">
        <f>_xlfn.XLOOKUP(E129,nomen!A:A,nomen!C:C,0)</f>
        <v>78</v>
      </c>
      <c r="AC129" s="23"/>
      <c r="AD129" s="27"/>
      <c r="AE129" s="27"/>
      <c r="AF129" s="27" t="s">
        <v>179</v>
      </c>
      <c r="AG129" s="30">
        <v>5</v>
      </c>
      <c r="AH129" s="24"/>
      <c r="AI129" s="21"/>
    </row>
    <row r="130" spans="1:35" x14ac:dyDescent="0.3">
      <c r="A130" s="22">
        <v>118</v>
      </c>
      <c r="B130" s="23">
        <v>4673746973080</v>
      </c>
      <c r="C130" s="26" t="s">
        <v>545</v>
      </c>
      <c r="D130" s="22" t="s">
        <v>546</v>
      </c>
      <c r="E130" s="22" t="s">
        <v>546</v>
      </c>
      <c r="F130" s="27" t="s">
        <v>1944</v>
      </c>
      <c r="G130" s="27"/>
      <c r="H130" s="27" t="s">
        <v>545</v>
      </c>
      <c r="I130" s="24">
        <v>51549.180327868853</v>
      </c>
      <c r="J130" s="28">
        <v>0.22</v>
      </c>
      <c r="K130" s="23">
        <v>62890</v>
      </c>
      <c r="L130" s="23">
        <v>62890</v>
      </c>
      <c r="M130" s="29" t="s">
        <v>309</v>
      </c>
      <c r="N130" s="23" t="s">
        <v>976</v>
      </c>
      <c r="O130" s="29" t="s">
        <v>309</v>
      </c>
      <c r="P130" s="29"/>
      <c r="Q130" s="29"/>
      <c r="R130" s="22"/>
      <c r="S130" s="23">
        <v>1</v>
      </c>
      <c r="T130" s="22"/>
      <c r="U130" s="22"/>
      <c r="V130" s="27"/>
      <c r="W130" s="23">
        <v>100</v>
      </c>
      <c r="X130" s="23">
        <v>100</v>
      </c>
      <c r="Y130" s="23">
        <v>50</v>
      </c>
      <c r="Z130" s="22" t="s">
        <v>889</v>
      </c>
      <c r="AA130" s="22"/>
      <c r="AB130" s="23">
        <f>_xlfn.XLOOKUP(E130,nomen!A:A,nomen!C:C,0)</f>
        <v>23</v>
      </c>
      <c r="AC130" s="23"/>
      <c r="AD130" s="27"/>
      <c r="AE130" s="27"/>
      <c r="AF130" s="27" t="s">
        <v>179</v>
      </c>
      <c r="AG130" s="30">
        <v>12</v>
      </c>
      <c r="AH130" s="24"/>
      <c r="AI130" s="21"/>
    </row>
    <row r="131" spans="1:35" x14ac:dyDescent="0.3">
      <c r="A131" s="22">
        <v>119</v>
      </c>
      <c r="B131" s="23">
        <v>4673746973219</v>
      </c>
      <c r="C131" s="26" t="s">
        <v>547</v>
      </c>
      <c r="D131" s="22" t="s">
        <v>548</v>
      </c>
      <c r="E131" s="22" t="s">
        <v>548</v>
      </c>
      <c r="F131" s="27" t="s">
        <v>1944</v>
      </c>
      <c r="G131" s="27"/>
      <c r="H131" s="27" t="s">
        <v>547</v>
      </c>
      <c r="I131" s="24">
        <v>9807.377049180328</v>
      </c>
      <c r="J131" s="28">
        <v>0.22</v>
      </c>
      <c r="K131" s="23">
        <v>11965</v>
      </c>
      <c r="L131" s="23">
        <v>11965</v>
      </c>
      <c r="M131" s="29" t="s">
        <v>309</v>
      </c>
      <c r="N131" s="23" t="s">
        <v>977</v>
      </c>
      <c r="O131" s="29" t="s">
        <v>309</v>
      </c>
      <c r="P131" s="29"/>
      <c r="Q131" s="29"/>
      <c r="R131" s="22"/>
      <c r="S131" s="23">
        <v>1</v>
      </c>
      <c r="T131" s="22"/>
      <c r="U131" s="22"/>
      <c r="V131" s="27"/>
      <c r="W131" s="23">
        <v>100</v>
      </c>
      <c r="X131" s="23">
        <v>100</v>
      </c>
      <c r="Y131" s="23">
        <v>50</v>
      </c>
      <c r="Z131" s="22" t="s">
        <v>889</v>
      </c>
      <c r="AA131" s="22"/>
      <c r="AB131" s="23">
        <f>_xlfn.XLOOKUP(E131,nomen!A:A,nomen!C:C,0)</f>
        <v>22</v>
      </c>
      <c r="AC131" s="23"/>
      <c r="AD131" s="27"/>
      <c r="AE131" s="27"/>
      <c r="AF131" s="27" t="s">
        <v>179</v>
      </c>
      <c r="AG131" s="30">
        <v>5.5</v>
      </c>
      <c r="AH131" s="24"/>
      <c r="AI131" s="21"/>
    </row>
    <row r="132" spans="1:35" x14ac:dyDescent="0.3">
      <c r="A132" s="22">
        <v>120</v>
      </c>
      <c r="B132" s="23">
        <v>4673746971031</v>
      </c>
      <c r="C132" s="26" t="s">
        <v>549</v>
      </c>
      <c r="D132" s="22" t="s">
        <v>550</v>
      </c>
      <c r="E132" s="22" t="s">
        <v>550</v>
      </c>
      <c r="F132" s="27" t="s">
        <v>1944</v>
      </c>
      <c r="G132" s="27"/>
      <c r="H132" s="27" t="s">
        <v>549</v>
      </c>
      <c r="I132" s="24">
        <v>1846.7213114754099</v>
      </c>
      <c r="J132" s="28">
        <v>0.22</v>
      </c>
      <c r="K132" s="23">
        <v>2253</v>
      </c>
      <c r="L132" s="23">
        <v>2253</v>
      </c>
      <c r="M132" s="29" t="s">
        <v>309</v>
      </c>
      <c r="N132" s="23" t="s">
        <v>978</v>
      </c>
      <c r="O132" s="29" t="s">
        <v>309</v>
      </c>
      <c r="P132" s="29"/>
      <c r="Q132" s="29"/>
      <c r="R132" s="22"/>
      <c r="S132" s="23">
        <v>1</v>
      </c>
      <c r="T132" s="22"/>
      <c r="U132" s="22"/>
      <c r="V132" s="27"/>
      <c r="W132" s="23" t="s">
        <v>907</v>
      </c>
      <c r="X132" s="23" t="s">
        <v>908</v>
      </c>
      <c r="Y132" s="23" t="s">
        <v>909</v>
      </c>
      <c r="Z132" s="22" t="s">
        <v>889</v>
      </c>
      <c r="AA132" s="22"/>
      <c r="AB132" s="23">
        <f>_xlfn.XLOOKUP(E132,nomen!A:A,nomen!C:C,0)</f>
        <v>63</v>
      </c>
      <c r="AC132" s="23"/>
      <c r="AD132" s="27"/>
      <c r="AE132" s="27"/>
      <c r="AF132" s="27" t="s">
        <v>179</v>
      </c>
      <c r="AG132" s="30">
        <v>4.12</v>
      </c>
      <c r="AH132" s="24"/>
      <c r="AI132" s="21"/>
    </row>
    <row r="133" spans="1:35" x14ac:dyDescent="0.3">
      <c r="A133" s="22">
        <v>121</v>
      </c>
      <c r="B133" s="23">
        <v>4673746972717</v>
      </c>
      <c r="C133" s="26" t="s">
        <v>551</v>
      </c>
      <c r="D133" s="22" t="s">
        <v>552</v>
      </c>
      <c r="E133" s="22" t="s">
        <v>552</v>
      </c>
      <c r="F133" s="27" t="s">
        <v>1944</v>
      </c>
      <c r="G133" s="27"/>
      <c r="H133" s="27" t="s">
        <v>551</v>
      </c>
      <c r="I133" s="24">
        <v>591.80327868852464</v>
      </c>
      <c r="J133" s="28">
        <v>0.22</v>
      </c>
      <c r="K133" s="23">
        <v>722</v>
      </c>
      <c r="L133" s="23">
        <v>722</v>
      </c>
      <c r="M133" s="29" t="s">
        <v>309</v>
      </c>
      <c r="N133" s="23" t="s">
        <v>940</v>
      </c>
      <c r="O133" s="29" t="s">
        <v>309</v>
      </c>
      <c r="P133" s="29"/>
      <c r="Q133" s="29"/>
      <c r="R133" s="22"/>
      <c r="S133" s="23">
        <v>1</v>
      </c>
      <c r="T133" s="22"/>
      <c r="U133" s="22"/>
      <c r="V133" s="27"/>
      <c r="W133" s="23">
        <v>100</v>
      </c>
      <c r="X133" s="23">
        <v>100</v>
      </c>
      <c r="Y133" s="23">
        <v>50</v>
      </c>
      <c r="Z133" s="22" t="s">
        <v>889</v>
      </c>
      <c r="AA133" s="22"/>
      <c r="AB133" s="23">
        <f>_xlfn.XLOOKUP(E133,nomen!A:A,nomen!C:C,0)</f>
        <v>333</v>
      </c>
      <c r="AC133" s="23"/>
      <c r="AD133" s="27"/>
      <c r="AE133" s="27"/>
      <c r="AF133" s="27" t="s">
        <v>179</v>
      </c>
      <c r="AG133" s="30">
        <v>0.2</v>
      </c>
      <c r="AH133" s="24"/>
      <c r="AI133" s="21"/>
    </row>
    <row r="134" spans="1:35" x14ac:dyDescent="0.3">
      <c r="A134" s="22">
        <v>122</v>
      </c>
      <c r="B134" s="23">
        <v>4652245476797</v>
      </c>
      <c r="C134" s="26" t="s">
        <v>553</v>
      </c>
      <c r="D134" s="22" t="s">
        <v>554</v>
      </c>
      <c r="E134" s="22" t="s">
        <v>554</v>
      </c>
      <c r="F134" s="27" t="s">
        <v>1944</v>
      </c>
      <c r="G134" s="27"/>
      <c r="H134" s="27" t="s">
        <v>553</v>
      </c>
      <c r="I134" s="24">
        <v>1024.5901639344263</v>
      </c>
      <c r="J134" s="28">
        <v>0.22</v>
      </c>
      <c r="K134" s="23">
        <v>1250</v>
      </c>
      <c r="L134" s="23">
        <v>1250</v>
      </c>
      <c r="M134" s="29" t="s">
        <v>309</v>
      </c>
      <c r="N134" s="23" t="s">
        <v>949</v>
      </c>
      <c r="O134" s="29" t="s">
        <v>309</v>
      </c>
      <c r="P134" s="29"/>
      <c r="Q134" s="29"/>
      <c r="R134" s="22"/>
      <c r="S134" s="23">
        <v>1</v>
      </c>
      <c r="T134" s="22"/>
      <c r="U134" s="22"/>
      <c r="V134" s="27"/>
      <c r="W134" s="23" t="s">
        <v>907</v>
      </c>
      <c r="X134" s="23" t="s">
        <v>908</v>
      </c>
      <c r="Y134" s="23" t="s">
        <v>909</v>
      </c>
      <c r="Z134" s="22" t="s">
        <v>889</v>
      </c>
      <c r="AA134" s="22"/>
      <c r="AB134" s="23">
        <f>_xlfn.XLOOKUP(E134,nomen!A:A,nomen!C:C,0)</f>
        <v>68</v>
      </c>
      <c r="AC134" s="23"/>
      <c r="AD134" s="27"/>
      <c r="AE134" s="27"/>
      <c r="AF134" s="27" t="s">
        <v>179</v>
      </c>
      <c r="AG134" s="30">
        <v>5</v>
      </c>
      <c r="AH134" s="24"/>
      <c r="AI134" s="21"/>
    </row>
    <row r="135" spans="1:35" x14ac:dyDescent="0.3">
      <c r="A135" s="22">
        <v>123</v>
      </c>
      <c r="B135" s="23">
        <v>2037427398159</v>
      </c>
      <c r="C135" s="26" t="s">
        <v>555</v>
      </c>
      <c r="D135" s="22" t="s">
        <v>556</v>
      </c>
      <c r="E135" s="22" t="s">
        <v>556</v>
      </c>
      <c r="F135" s="27" t="s">
        <v>1944</v>
      </c>
      <c r="G135" s="27"/>
      <c r="H135" s="27" t="s">
        <v>555</v>
      </c>
      <c r="I135" s="24">
        <v>267.21311475409834</v>
      </c>
      <c r="J135" s="28">
        <v>0.22</v>
      </c>
      <c r="K135" s="23">
        <v>326</v>
      </c>
      <c r="L135" s="23">
        <v>326</v>
      </c>
      <c r="M135" s="29" t="s">
        <v>309</v>
      </c>
      <c r="N135" s="23" t="s">
        <v>932</v>
      </c>
      <c r="O135" s="29" t="s">
        <v>309</v>
      </c>
      <c r="P135" s="29"/>
      <c r="Q135" s="29"/>
      <c r="R135" s="22"/>
      <c r="S135" s="23">
        <v>1</v>
      </c>
      <c r="T135" s="22"/>
      <c r="U135" s="22"/>
      <c r="V135" s="27"/>
      <c r="W135" s="23" t="s">
        <v>979</v>
      </c>
      <c r="X135" s="23" t="s">
        <v>979</v>
      </c>
      <c r="Y135" s="23" t="s">
        <v>895</v>
      </c>
      <c r="Z135" s="22" t="s">
        <v>889</v>
      </c>
      <c r="AA135" s="22"/>
      <c r="AB135" s="23">
        <f>_xlfn.XLOOKUP(E135,nomen!A:A,nomen!C:C,0)</f>
        <v>608</v>
      </c>
      <c r="AC135" s="23"/>
      <c r="AD135" s="27"/>
      <c r="AE135" s="27"/>
      <c r="AF135" s="27" t="s">
        <v>179</v>
      </c>
      <c r="AG135" s="30">
        <v>1.7999999999999999E-2</v>
      </c>
      <c r="AH135" s="24"/>
      <c r="AI135" s="21"/>
    </row>
    <row r="136" spans="1:35" x14ac:dyDescent="0.3">
      <c r="A136" s="22">
        <v>124</v>
      </c>
      <c r="B136" s="23">
        <v>4673746970485</v>
      </c>
      <c r="C136" s="26" t="s">
        <v>557</v>
      </c>
      <c r="D136" s="22" t="s">
        <v>558</v>
      </c>
      <c r="E136" s="22" t="s">
        <v>558</v>
      </c>
      <c r="F136" s="27" t="s">
        <v>1944</v>
      </c>
      <c r="G136" s="27"/>
      <c r="H136" s="27" t="s">
        <v>557</v>
      </c>
      <c r="I136" s="24">
        <v>918.03278688524597</v>
      </c>
      <c r="J136" s="28">
        <v>0.22</v>
      </c>
      <c r="K136" s="23">
        <v>1120</v>
      </c>
      <c r="L136" s="23">
        <v>1120</v>
      </c>
      <c r="M136" s="29" t="s">
        <v>309</v>
      </c>
      <c r="N136" s="23" t="s">
        <v>980</v>
      </c>
      <c r="O136" s="29" t="s">
        <v>309</v>
      </c>
      <c r="P136" s="29"/>
      <c r="Q136" s="29"/>
      <c r="R136" s="22"/>
      <c r="S136" s="23">
        <v>1</v>
      </c>
      <c r="T136" s="22"/>
      <c r="U136" s="22"/>
      <c r="V136" s="27"/>
      <c r="W136" s="23" t="s">
        <v>917</v>
      </c>
      <c r="X136" s="23" t="s">
        <v>917</v>
      </c>
      <c r="Y136" s="23" t="s">
        <v>918</v>
      </c>
      <c r="Z136" s="22" t="s">
        <v>889</v>
      </c>
      <c r="AA136" s="22"/>
      <c r="AB136" s="23">
        <f>_xlfn.XLOOKUP(E136,nomen!A:A,nomen!C:C,0)</f>
        <v>1568</v>
      </c>
      <c r="AC136" s="23"/>
      <c r="AD136" s="27"/>
      <c r="AE136" s="27"/>
      <c r="AF136" s="27" t="s">
        <v>179</v>
      </c>
      <c r="AG136" s="30">
        <v>0.3</v>
      </c>
      <c r="AH136" s="24"/>
      <c r="AI136" s="21"/>
    </row>
    <row r="137" spans="1:35" x14ac:dyDescent="0.3">
      <c r="A137" s="22">
        <v>125</v>
      </c>
      <c r="B137" s="23">
        <v>4652245476353</v>
      </c>
      <c r="C137" s="26" t="s">
        <v>559</v>
      </c>
      <c r="D137" s="22" t="s">
        <v>560</v>
      </c>
      <c r="E137" s="22" t="s">
        <v>560</v>
      </c>
      <c r="F137" s="27" t="s">
        <v>1944</v>
      </c>
      <c r="G137" s="27"/>
      <c r="H137" s="27" t="s">
        <v>559</v>
      </c>
      <c r="I137" s="24">
        <v>231.14754098360658</v>
      </c>
      <c r="J137" s="28">
        <v>0.22</v>
      </c>
      <c r="K137" s="23">
        <v>282</v>
      </c>
      <c r="L137" s="23">
        <v>282</v>
      </c>
      <c r="M137" s="29" t="s">
        <v>309</v>
      </c>
      <c r="N137" s="23" t="s">
        <v>943</v>
      </c>
      <c r="O137" s="29" t="s">
        <v>309</v>
      </c>
      <c r="P137" s="29"/>
      <c r="Q137" s="29"/>
      <c r="R137" s="22"/>
      <c r="S137" s="23">
        <v>1</v>
      </c>
      <c r="T137" s="22"/>
      <c r="U137" s="22"/>
      <c r="V137" s="27"/>
      <c r="W137" s="23" t="s">
        <v>897</v>
      </c>
      <c r="X137" s="23" t="s">
        <v>897</v>
      </c>
      <c r="Y137" s="23" t="s">
        <v>903</v>
      </c>
      <c r="Z137" s="22" t="s">
        <v>889</v>
      </c>
      <c r="AA137" s="22"/>
      <c r="AB137" s="23">
        <f>_xlfn.XLOOKUP(E137,nomen!A:A,nomen!C:C,0)</f>
        <v>3</v>
      </c>
      <c r="AC137" s="23"/>
      <c r="AD137" s="27"/>
      <c r="AE137" s="27"/>
      <c r="AF137" s="27" t="s">
        <v>179</v>
      </c>
      <c r="AG137" s="30">
        <v>0.8</v>
      </c>
      <c r="AH137" s="24"/>
      <c r="AI137" s="21"/>
    </row>
    <row r="138" spans="1:35" x14ac:dyDescent="0.3">
      <c r="A138" s="22">
        <v>126</v>
      </c>
      <c r="B138" s="23">
        <v>4673746970003</v>
      </c>
      <c r="C138" s="26" t="s">
        <v>561</v>
      </c>
      <c r="D138" s="22" t="s">
        <v>562</v>
      </c>
      <c r="E138" s="22" t="s">
        <v>562</v>
      </c>
      <c r="F138" s="27" t="s">
        <v>1944</v>
      </c>
      <c r="G138" s="27"/>
      <c r="H138" s="27" t="s">
        <v>561</v>
      </c>
      <c r="I138" s="24">
        <v>228.68852459016395</v>
      </c>
      <c r="J138" s="28">
        <v>0.22</v>
      </c>
      <c r="K138" s="23">
        <v>279</v>
      </c>
      <c r="L138" s="23">
        <v>279</v>
      </c>
      <c r="M138" s="29" t="s">
        <v>309</v>
      </c>
      <c r="N138" s="23" t="s">
        <v>943</v>
      </c>
      <c r="O138" s="29" t="s">
        <v>309</v>
      </c>
      <c r="P138" s="29"/>
      <c r="Q138" s="29"/>
      <c r="R138" s="22"/>
      <c r="S138" s="23">
        <v>1</v>
      </c>
      <c r="T138" s="22"/>
      <c r="U138" s="22"/>
      <c r="V138" s="27"/>
      <c r="W138" s="23" t="s">
        <v>917</v>
      </c>
      <c r="X138" s="23" t="s">
        <v>917</v>
      </c>
      <c r="Y138" s="23" t="s">
        <v>918</v>
      </c>
      <c r="Z138" s="22" t="s">
        <v>889</v>
      </c>
      <c r="AA138" s="22"/>
      <c r="AB138" s="23">
        <f>_xlfn.XLOOKUP(E138,nomen!A:A,nomen!C:C,0)</f>
        <v>84</v>
      </c>
      <c r="AC138" s="23"/>
      <c r="AD138" s="27"/>
      <c r="AE138" s="27"/>
      <c r="AF138" s="27" t="s">
        <v>179</v>
      </c>
      <c r="AG138" s="30">
        <v>0.2</v>
      </c>
      <c r="AH138" s="24"/>
      <c r="AI138" s="21"/>
    </row>
    <row r="139" spans="1:35" x14ac:dyDescent="0.3">
      <c r="A139" s="22">
        <v>127</v>
      </c>
      <c r="B139" s="23">
        <v>4673746971826</v>
      </c>
      <c r="C139" s="26" t="s">
        <v>563</v>
      </c>
      <c r="D139" s="22" t="s">
        <v>564</v>
      </c>
      <c r="E139" s="22" t="s">
        <v>564</v>
      </c>
      <c r="F139" s="27" t="s">
        <v>1944</v>
      </c>
      <c r="G139" s="27"/>
      <c r="H139" s="27" t="s">
        <v>563</v>
      </c>
      <c r="I139" s="24">
        <v>406.55737704918033</v>
      </c>
      <c r="J139" s="28">
        <v>0.22</v>
      </c>
      <c r="K139" s="23">
        <v>496</v>
      </c>
      <c r="L139" s="23">
        <v>496</v>
      </c>
      <c r="M139" s="29" t="s">
        <v>309</v>
      </c>
      <c r="N139" s="23" t="s">
        <v>959</v>
      </c>
      <c r="O139" s="29" t="s">
        <v>309</v>
      </c>
      <c r="P139" s="29"/>
      <c r="Q139" s="29"/>
      <c r="R139" s="22"/>
      <c r="S139" s="23">
        <v>1</v>
      </c>
      <c r="T139" s="22"/>
      <c r="U139" s="22"/>
      <c r="V139" s="27"/>
      <c r="W139" s="23">
        <v>100</v>
      </c>
      <c r="X139" s="23">
        <v>100</v>
      </c>
      <c r="Y139" s="23">
        <v>50</v>
      </c>
      <c r="Z139" s="22" t="s">
        <v>889</v>
      </c>
      <c r="AA139" s="22"/>
      <c r="AB139" s="23">
        <f>_xlfn.XLOOKUP(E139,nomen!A:A,nomen!C:C,0)</f>
        <v>0</v>
      </c>
      <c r="AC139" s="23"/>
      <c r="AD139" s="27"/>
      <c r="AE139" s="27"/>
      <c r="AF139" s="27" t="s">
        <v>179</v>
      </c>
      <c r="AG139" s="30">
        <v>0.1</v>
      </c>
      <c r="AH139" s="24"/>
      <c r="AI139" s="21"/>
    </row>
    <row r="140" spans="1:35" x14ac:dyDescent="0.3">
      <c r="A140" s="22">
        <v>128</v>
      </c>
      <c r="B140" s="23">
        <v>4673746972083</v>
      </c>
      <c r="C140" s="26" t="s">
        <v>565</v>
      </c>
      <c r="D140" s="22" t="s">
        <v>566</v>
      </c>
      <c r="E140" s="22" t="s">
        <v>566</v>
      </c>
      <c r="F140" s="27" t="s">
        <v>1944</v>
      </c>
      <c r="G140" s="27"/>
      <c r="H140" s="27" t="s">
        <v>565</v>
      </c>
      <c r="I140" s="24">
        <v>537.70491803278685</v>
      </c>
      <c r="J140" s="28">
        <v>0.22</v>
      </c>
      <c r="K140" s="23">
        <v>656</v>
      </c>
      <c r="L140" s="23">
        <v>656</v>
      </c>
      <c r="M140" s="29" t="s">
        <v>309</v>
      </c>
      <c r="N140" s="23" t="s">
        <v>944</v>
      </c>
      <c r="O140" s="29" t="s">
        <v>309</v>
      </c>
      <c r="P140" s="29"/>
      <c r="Q140" s="29"/>
      <c r="R140" s="22"/>
      <c r="S140" s="23">
        <v>1</v>
      </c>
      <c r="T140" s="22"/>
      <c r="U140" s="22"/>
      <c r="V140" s="27"/>
      <c r="W140" s="23">
        <v>100</v>
      </c>
      <c r="X140" s="23">
        <v>100</v>
      </c>
      <c r="Y140" s="23">
        <v>50</v>
      </c>
      <c r="Z140" s="22" t="s">
        <v>889</v>
      </c>
      <c r="AA140" s="22"/>
      <c r="AB140" s="23">
        <f>_xlfn.XLOOKUP(E140,nomen!A:A,nomen!C:C,0)</f>
        <v>305</v>
      </c>
      <c r="AC140" s="23"/>
      <c r="AD140" s="27"/>
      <c r="AE140" s="27"/>
      <c r="AF140" s="27" t="s">
        <v>179</v>
      </c>
      <c r="AG140" s="30">
        <v>0.4</v>
      </c>
      <c r="AH140" s="24"/>
      <c r="AI140" s="21"/>
    </row>
    <row r="141" spans="1:35" x14ac:dyDescent="0.3">
      <c r="A141" s="22">
        <v>129</v>
      </c>
      <c r="B141" s="23">
        <v>4673746973073</v>
      </c>
      <c r="C141" s="26" t="s">
        <v>567</v>
      </c>
      <c r="D141" s="22" t="s">
        <v>568</v>
      </c>
      <c r="E141" s="22" t="s">
        <v>568</v>
      </c>
      <c r="F141" s="27" t="s">
        <v>1944</v>
      </c>
      <c r="G141" s="27"/>
      <c r="H141" s="27" t="s">
        <v>567</v>
      </c>
      <c r="I141" s="24">
        <v>53742.62295081967</v>
      </c>
      <c r="J141" s="28">
        <v>0.22</v>
      </c>
      <c r="K141" s="23">
        <v>65566</v>
      </c>
      <c r="L141" s="23">
        <v>65566</v>
      </c>
      <c r="M141" s="29" t="s">
        <v>309</v>
      </c>
      <c r="N141" s="23" t="s">
        <v>981</v>
      </c>
      <c r="O141" s="29" t="s">
        <v>309</v>
      </c>
      <c r="P141" s="29"/>
      <c r="Q141" s="29"/>
      <c r="R141" s="22"/>
      <c r="S141" s="23">
        <v>1</v>
      </c>
      <c r="T141" s="22"/>
      <c r="U141" s="22"/>
      <c r="V141" s="27"/>
      <c r="W141" s="23">
        <v>100</v>
      </c>
      <c r="X141" s="23">
        <v>100</v>
      </c>
      <c r="Y141" s="23">
        <v>50</v>
      </c>
      <c r="Z141" s="22" t="s">
        <v>889</v>
      </c>
      <c r="AA141" s="22"/>
      <c r="AB141" s="23">
        <f>_xlfn.XLOOKUP(E141,nomen!A:A,nomen!C:C,0)</f>
        <v>4</v>
      </c>
      <c r="AC141" s="23"/>
      <c r="AD141" s="27"/>
      <c r="AE141" s="27"/>
      <c r="AF141" s="27" t="s">
        <v>179</v>
      </c>
      <c r="AG141" s="30">
        <v>12</v>
      </c>
      <c r="AH141" s="24"/>
      <c r="AI141" s="21"/>
    </row>
    <row r="142" spans="1:35" x14ac:dyDescent="0.3">
      <c r="A142" s="22">
        <v>130</v>
      </c>
      <c r="B142" s="23">
        <v>4673746974056</v>
      </c>
      <c r="C142" s="26" t="s">
        <v>569</v>
      </c>
      <c r="D142" s="22" t="s">
        <v>570</v>
      </c>
      <c r="E142" s="22" t="s">
        <v>570</v>
      </c>
      <c r="F142" s="27" t="s">
        <v>1944</v>
      </c>
      <c r="G142" s="27"/>
      <c r="H142" s="27" t="s">
        <v>569</v>
      </c>
      <c r="I142" s="24">
        <v>327.86885245901641</v>
      </c>
      <c r="J142" s="28">
        <v>0.22</v>
      </c>
      <c r="K142" s="23">
        <v>400</v>
      </c>
      <c r="L142" s="23">
        <v>400</v>
      </c>
      <c r="M142" s="29" t="s">
        <v>309</v>
      </c>
      <c r="N142" s="23" t="s">
        <v>906</v>
      </c>
      <c r="O142" s="29" t="s">
        <v>309</v>
      </c>
      <c r="P142" s="29"/>
      <c r="Q142" s="29"/>
      <c r="R142" s="22"/>
      <c r="S142" s="23">
        <v>1</v>
      </c>
      <c r="T142" s="22"/>
      <c r="U142" s="22"/>
      <c r="V142" s="27"/>
      <c r="W142" s="23" t="s">
        <v>893</v>
      </c>
      <c r="X142" s="23">
        <v>80</v>
      </c>
      <c r="Y142" s="23">
        <v>80</v>
      </c>
      <c r="Z142" s="22" t="s">
        <v>889</v>
      </c>
      <c r="AA142" s="22"/>
      <c r="AB142" s="23">
        <f>_xlfn.XLOOKUP(E142,nomen!A:A,nomen!C:C,0)</f>
        <v>309</v>
      </c>
      <c r="AC142" s="23"/>
      <c r="AD142" s="27"/>
      <c r="AE142" s="27"/>
      <c r="AF142" s="27" t="s">
        <v>179</v>
      </c>
      <c r="AG142" s="30">
        <v>0.4</v>
      </c>
      <c r="AH142" s="24"/>
      <c r="AI142" s="21"/>
    </row>
    <row r="143" spans="1:35" x14ac:dyDescent="0.3">
      <c r="A143" s="22">
        <v>131</v>
      </c>
      <c r="B143" s="23">
        <v>4673746971659</v>
      </c>
      <c r="C143" s="26" t="s">
        <v>571</v>
      </c>
      <c r="D143" s="22" t="s">
        <v>572</v>
      </c>
      <c r="E143" s="22" t="s">
        <v>572</v>
      </c>
      <c r="F143" s="27" t="s">
        <v>1944</v>
      </c>
      <c r="G143" s="27"/>
      <c r="H143" s="27" t="s">
        <v>571</v>
      </c>
      <c r="I143" s="24">
        <v>1383.6065573770493</v>
      </c>
      <c r="J143" s="28">
        <v>0.22</v>
      </c>
      <c r="K143" s="23">
        <v>1688</v>
      </c>
      <c r="L143" s="23">
        <v>1688</v>
      </c>
      <c r="M143" s="29" t="s">
        <v>309</v>
      </c>
      <c r="N143" s="23" t="s">
        <v>982</v>
      </c>
      <c r="O143" s="29" t="s">
        <v>309</v>
      </c>
      <c r="P143" s="29"/>
      <c r="Q143" s="29"/>
      <c r="R143" s="22"/>
      <c r="S143" s="23">
        <v>1</v>
      </c>
      <c r="T143" s="22"/>
      <c r="U143" s="22"/>
      <c r="V143" s="27"/>
      <c r="W143" s="23" t="s">
        <v>907</v>
      </c>
      <c r="X143" s="23" t="s">
        <v>908</v>
      </c>
      <c r="Y143" s="23" t="s">
        <v>909</v>
      </c>
      <c r="Z143" s="22" t="s">
        <v>889</v>
      </c>
      <c r="AA143" s="22"/>
      <c r="AB143" s="23">
        <f>_xlfn.XLOOKUP(E143,nomen!A:A,nomen!C:C,0)</f>
        <v>64</v>
      </c>
      <c r="AC143" s="23"/>
      <c r="AD143" s="27"/>
      <c r="AE143" s="27"/>
      <c r="AF143" s="27" t="s">
        <v>179</v>
      </c>
      <c r="AG143" s="30">
        <v>5</v>
      </c>
      <c r="AH143" s="24"/>
      <c r="AI143" s="21"/>
    </row>
    <row r="144" spans="1:35" x14ac:dyDescent="0.3">
      <c r="A144" s="22">
        <v>132</v>
      </c>
      <c r="B144" s="23">
        <v>4673746972311</v>
      </c>
      <c r="C144" s="26" t="s">
        <v>573</v>
      </c>
      <c r="D144" s="22" t="s">
        <v>574</v>
      </c>
      <c r="E144" s="22" t="s">
        <v>574</v>
      </c>
      <c r="F144" s="27" t="s">
        <v>1944</v>
      </c>
      <c r="G144" s="27"/>
      <c r="H144" s="27" t="s">
        <v>573</v>
      </c>
      <c r="I144" s="24">
        <v>537.70491803278685</v>
      </c>
      <c r="J144" s="28">
        <v>0.22</v>
      </c>
      <c r="K144" s="23">
        <v>656</v>
      </c>
      <c r="L144" s="23">
        <v>656</v>
      </c>
      <c r="M144" s="29" t="s">
        <v>309</v>
      </c>
      <c r="N144" s="23" t="s">
        <v>944</v>
      </c>
      <c r="O144" s="29" t="s">
        <v>309</v>
      </c>
      <c r="P144" s="29"/>
      <c r="Q144" s="29"/>
      <c r="R144" s="22"/>
      <c r="S144" s="23">
        <v>1</v>
      </c>
      <c r="T144" s="22"/>
      <c r="U144" s="22"/>
      <c r="V144" s="27"/>
      <c r="W144" s="23">
        <v>100</v>
      </c>
      <c r="X144" s="23">
        <v>100</v>
      </c>
      <c r="Y144" s="23">
        <v>50</v>
      </c>
      <c r="Z144" s="22" t="s">
        <v>889</v>
      </c>
      <c r="AA144" s="22"/>
      <c r="AB144" s="23">
        <f>_xlfn.XLOOKUP(E144,nomen!A:A,nomen!C:C,0)</f>
        <v>947</v>
      </c>
      <c r="AC144" s="23"/>
      <c r="AD144" s="27"/>
      <c r="AE144" s="27"/>
      <c r="AF144" s="27" t="s">
        <v>179</v>
      </c>
      <c r="AG144" s="30">
        <v>0.1</v>
      </c>
      <c r="AH144" s="24"/>
      <c r="AI144" s="21"/>
    </row>
    <row r="145" spans="1:35" x14ac:dyDescent="0.3">
      <c r="A145" s="22">
        <v>133</v>
      </c>
      <c r="B145" s="23">
        <v>4673746971208</v>
      </c>
      <c r="C145" s="26" t="s">
        <v>575</v>
      </c>
      <c r="D145" s="22" t="s">
        <v>576</v>
      </c>
      <c r="E145" s="22" t="s">
        <v>576</v>
      </c>
      <c r="F145" s="27" t="s">
        <v>1944</v>
      </c>
      <c r="G145" s="27"/>
      <c r="H145" s="27" t="s">
        <v>575</v>
      </c>
      <c r="I145" s="24">
        <v>2721.311475409836</v>
      </c>
      <c r="J145" s="28">
        <v>0.22</v>
      </c>
      <c r="K145" s="23">
        <v>3320</v>
      </c>
      <c r="L145" s="23">
        <v>3320</v>
      </c>
      <c r="M145" s="29" t="s">
        <v>309</v>
      </c>
      <c r="N145" s="23" t="s">
        <v>983</v>
      </c>
      <c r="O145" s="29" t="s">
        <v>309</v>
      </c>
      <c r="P145" s="29"/>
      <c r="Q145" s="29"/>
      <c r="R145" s="22"/>
      <c r="S145" s="23">
        <v>1</v>
      </c>
      <c r="T145" s="22"/>
      <c r="U145" s="22"/>
      <c r="V145" s="27"/>
      <c r="W145" s="23" t="s">
        <v>907</v>
      </c>
      <c r="X145" s="23" t="s">
        <v>908</v>
      </c>
      <c r="Y145" s="23" t="s">
        <v>909</v>
      </c>
      <c r="Z145" s="22" t="s">
        <v>889</v>
      </c>
      <c r="AA145" s="22"/>
      <c r="AB145" s="23">
        <f>_xlfn.XLOOKUP(E145,nomen!A:A,nomen!C:C,0)</f>
        <v>96</v>
      </c>
      <c r="AC145" s="23"/>
      <c r="AD145" s="27"/>
      <c r="AE145" s="27"/>
      <c r="AF145" s="27" t="s">
        <v>179</v>
      </c>
      <c r="AG145" s="30">
        <v>4.5</v>
      </c>
      <c r="AH145" s="24"/>
      <c r="AI145" s="21"/>
    </row>
    <row r="146" spans="1:35" x14ac:dyDescent="0.3">
      <c r="A146" s="22">
        <v>134</v>
      </c>
      <c r="B146" s="23">
        <v>4673746971376</v>
      </c>
      <c r="C146" s="26" t="s">
        <v>577</v>
      </c>
      <c r="D146" s="22" t="s">
        <v>578</v>
      </c>
      <c r="E146" s="22" t="s">
        <v>578</v>
      </c>
      <c r="F146" s="27" t="s">
        <v>1944</v>
      </c>
      <c r="G146" s="27"/>
      <c r="H146" s="27" t="s">
        <v>577</v>
      </c>
      <c r="I146" s="24">
        <v>870.49180327868851</v>
      </c>
      <c r="J146" s="28">
        <v>0.22</v>
      </c>
      <c r="K146" s="23">
        <v>1062</v>
      </c>
      <c r="L146" s="23">
        <v>1062</v>
      </c>
      <c r="M146" s="29" t="s">
        <v>309</v>
      </c>
      <c r="N146" s="23" t="s">
        <v>980</v>
      </c>
      <c r="O146" s="29" t="s">
        <v>309</v>
      </c>
      <c r="P146" s="29"/>
      <c r="Q146" s="29"/>
      <c r="R146" s="22"/>
      <c r="S146" s="23">
        <v>1</v>
      </c>
      <c r="T146" s="22"/>
      <c r="U146" s="22"/>
      <c r="V146" s="27"/>
      <c r="W146" s="23" t="s">
        <v>907</v>
      </c>
      <c r="X146" s="23" t="s">
        <v>908</v>
      </c>
      <c r="Y146" s="23" t="s">
        <v>909</v>
      </c>
      <c r="Z146" s="22" t="s">
        <v>889</v>
      </c>
      <c r="AA146" s="22"/>
      <c r="AB146" s="23">
        <f>_xlfn.XLOOKUP(E146,nomen!A:A,nomen!C:C,0)</f>
        <v>65</v>
      </c>
      <c r="AC146" s="23"/>
      <c r="AD146" s="27"/>
      <c r="AE146" s="27"/>
      <c r="AF146" s="27" t="s">
        <v>179</v>
      </c>
      <c r="AG146" s="30">
        <v>5</v>
      </c>
      <c r="AH146" s="24"/>
      <c r="AI146" s="21"/>
    </row>
    <row r="147" spans="1:35" x14ac:dyDescent="0.3">
      <c r="A147" s="22">
        <v>135</v>
      </c>
      <c r="B147" s="23">
        <v>4673746972557</v>
      </c>
      <c r="C147" s="26" t="s">
        <v>579</v>
      </c>
      <c r="D147" s="22" t="s">
        <v>580</v>
      </c>
      <c r="E147" s="22" t="s">
        <v>580</v>
      </c>
      <c r="F147" s="27" t="s">
        <v>1944</v>
      </c>
      <c r="G147" s="27"/>
      <c r="H147" s="27" t="s">
        <v>579</v>
      </c>
      <c r="I147" s="24">
        <v>406.55737704918033</v>
      </c>
      <c r="J147" s="28">
        <v>0.22</v>
      </c>
      <c r="K147" s="23">
        <v>496</v>
      </c>
      <c r="L147" s="23">
        <v>496</v>
      </c>
      <c r="M147" s="29" t="s">
        <v>309</v>
      </c>
      <c r="N147" s="23" t="s">
        <v>959</v>
      </c>
      <c r="O147" s="29" t="s">
        <v>309</v>
      </c>
      <c r="P147" s="29"/>
      <c r="Q147" s="29"/>
      <c r="R147" s="22"/>
      <c r="S147" s="23">
        <v>1</v>
      </c>
      <c r="T147" s="22"/>
      <c r="U147" s="22"/>
      <c r="V147" s="27"/>
      <c r="W147" s="23">
        <v>100</v>
      </c>
      <c r="X147" s="23">
        <v>100</v>
      </c>
      <c r="Y147" s="23">
        <v>50</v>
      </c>
      <c r="Z147" s="22" t="s">
        <v>889</v>
      </c>
      <c r="AA147" s="22"/>
      <c r="AB147" s="23">
        <f>_xlfn.XLOOKUP(E147,nomen!A:A,nomen!C:C,0)</f>
        <v>3</v>
      </c>
      <c r="AC147" s="23"/>
      <c r="AD147" s="27"/>
      <c r="AE147" s="27"/>
      <c r="AF147" s="27" t="s">
        <v>179</v>
      </c>
      <c r="AG147" s="30">
        <v>0.1</v>
      </c>
      <c r="AH147" s="24"/>
      <c r="AI147" s="21"/>
    </row>
    <row r="148" spans="1:35" x14ac:dyDescent="0.3">
      <c r="A148" s="22">
        <v>136</v>
      </c>
      <c r="B148" s="23">
        <v>4673746970201</v>
      </c>
      <c r="C148" s="26" t="s">
        <v>581</v>
      </c>
      <c r="D148" s="22" t="s">
        <v>582</v>
      </c>
      <c r="E148" s="22" t="s">
        <v>582</v>
      </c>
      <c r="F148" s="27" t="s">
        <v>1944</v>
      </c>
      <c r="G148" s="27"/>
      <c r="H148" s="27" t="s">
        <v>581</v>
      </c>
      <c r="I148" s="24">
        <v>304.09836065573774</v>
      </c>
      <c r="J148" s="28">
        <v>0.22</v>
      </c>
      <c r="K148" s="23">
        <v>371</v>
      </c>
      <c r="L148" s="23">
        <v>371</v>
      </c>
      <c r="M148" s="29" t="s">
        <v>309</v>
      </c>
      <c r="N148" s="23" t="s">
        <v>902</v>
      </c>
      <c r="O148" s="29" t="s">
        <v>309</v>
      </c>
      <c r="P148" s="29"/>
      <c r="Q148" s="29"/>
      <c r="R148" s="22"/>
      <c r="S148" s="23">
        <v>1</v>
      </c>
      <c r="T148" s="22"/>
      <c r="U148" s="22"/>
      <c r="V148" s="27"/>
      <c r="W148" s="23" t="s">
        <v>917</v>
      </c>
      <c r="X148" s="23" t="s">
        <v>917</v>
      </c>
      <c r="Y148" s="23" t="s">
        <v>918</v>
      </c>
      <c r="Z148" s="22" t="s">
        <v>889</v>
      </c>
      <c r="AA148" s="22"/>
      <c r="AB148" s="23">
        <f>_xlfn.XLOOKUP(E148,nomen!A:A,nomen!C:C,0)</f>
        <v>0</v>
      </c>
      <c r="AC148" s="23"/>
      <c r="AD148" s="27"/>
      <c r="AE148" s="27"/>
      <c r="AF148" s="27" t="s">
        <v>179</v>
      </c>
      <c r="AG148" s="30">
        <v>0.2</v>
      </c>
      <c r="AH148" s="24"/>
      <c r="AI148" s="21"/>
    </row>
    <row r="149" spans="1:35" x14ac:dyDescent="0.3">
      <c r="A149" s="22">
        <v>137</v>
      </c>
      <c r="B149" s="23">
        <v>4673746972267</v>
      </c>
      <c r="C149" s="26" t="s">
        <v>583</v>
      </c>
      <c r="D149" s="22" t="s">
        <v>584</v>
      </c>
      <c r="E149" s="22" t="s">
        <v>584</v>
      </c>
      <c r="F149" s="27" t="s">
        <v>1944</v>
      </c>
      <c r="G149" s="27"/>
      <c r="H149" s="27" t="s">
        <v>583</v>
      </c>
      <c r="I149" s="24">
        <v>190.1639344262295</v>
      </c>
      <c r="J149" s="28">
        <v>0.22</v>
      </c>
      <c r="K149" s="23">
        <v>232</v>
      </c>
      <c r="L149" s="23">
        <v>232</v>
      </c>
      <c r="M149" s="29" t="s">
        <v>309</v>
      </c>
      <c r="N149" s="23" t="s">
        <v>904</v>
      </c>
      <c r="O149" s="29" t="s">
        <v>309</v>
      </c>
      <c r="P149" s="29"/>
      <c r="Q149" s="29"/>
      <c r="R149" s="22"/>
      <c r="S149" s="23">
        <v>1</v>
      </c>
      <c r="T149" s="22"/>
      <c r="U149" s="22"/>
      <c r="V149" s="27"/>
      <c r="W149" s="23">
        <v>100</v>
      </c>
      <c r="X149" s="23">
        <v>100</v>
      </c>
      <c r="Y149" s="23">
        <v>50</v>
      </c>
      <c r="Z149" s="22" t="s">
        <v>889</v>
      </c>
      <c r="AA149" s="22"/>
      <c r="AB149" s="23">
        <f>_xlfn.XLOOKUP(E149,nomen!A:A,nomen!C:C,0)</f>
        <v>446</v>
      </c>
      <c r="AC149" s="23"/>
      <c r="AD149" s="27"/>
      <c r="AE149" s="27"/>
      <c r="AF149" s="27" t="s">
        <v>179</v>
      </c>
      <c r="AG149" s="30">
        <v>0.1</v>
      </c>
      <c r="AH149" s="24"/>
      <c r="AI149" s="21"/>
    </row>
    <row r="150" spans="1:35" x14ac:dyDescent="0.3">
      <c r="A150" s="22">
        <v>138</v>
      </c>
      <c r="B150" s="23">
        <v>4673746973110</v>
      </c>
      <c r="C150" s="26" t="s">
        <v>585</v>
      </c>
      <c r="D150" s="22" t="s">
        <v>586</v>
      </c>
      <c r="E150" s="22" t="s">
        <v>586</v>
      </c>
      <c r="F150" s="27" t="s">
        <v>1944</v>
      </c>
      <c r="G150" s="27"/>
      <c r="H150" s="27" t="s">
        <v>585</v>
      </c>
      <c r="I150" s="24">
        <v>509.8360655737705</v>
      </c>
      <c r="J150" s="28">
        <v>0.22</v>
      </c>
      <c r="K150" s="23">
        <v>622</v>
      </c>
      <c r="L150" s="23">
        <v>622</v>
      </c>
      <c r="M150" s="29" t="s">
        <v>309</v>
      </c>
      <c r="N150" s="23" t="s">
        <v>944</v>
      </c>
      <c r="O150" s="29" t="s">
        <v>309</v>
      </c>
      <c r="P150" s="29"/>
      <c r="Q150" s="29"/>
      <c r="R150" s="22"/>
      <c r="S150" s="23">
        <v>1</v>
      </c>
      <c r="T150" s="22"/>
      <c r="U150" s="22"/>
      <c r="V150" s="27"/>
      <c r="W150" s="23" t="s">
        <v>907</v>
      </c>
      <c r="X150" s="23" t="s">
        <v>908</v>
      </c>
      <c r="Y150" s="23" t="s">
        <v>909</v>
      </c>
      <c r="Z150" s="22" t="s">
        <v>889</v>
      </c>
      <c r="AA150" s="22"/>
      <c r="AB150" s="23">
        <f>_xlfn.XLOOKUP(E150,nomen!A:A,nomen!C:C,0)</f>
        <v>46</v>
      </c>
      <c r="AC150" s="23"/>
      <c r="AD150" s="27"/>
      <c r="AE150" s="27"/>
      <c r="AF150" s="27" t="s">
        <v>179</v>
      </c>
      <c r="AG150" s="30">
        <v>5</v>
      </c>
      <c r="AH150" s="24"/>
      <c r="AI150" s="21"/>
    </row>
    <row r="151" spans="1:35" x14ac:dyDescent="0.3">
      <c r="A151" s="22">
        <v>139</v>
      </c>
      <c r="B151" s="23">
        <v>4673746970874</v>
      </c>
      <c r="C151" s="26" t="s">
        <v>587</v>
      </c>
      <c r="D151" s="22" t="s">
        <v>588</v>
      </c>
      <c r="E151" s="22" t="s">
        <v>588</v>
      </c>
      <c r="F151" s="27" t="s">
        <v>1944</v>
      </c>
      <c r="G151" s="27"/>
      <c r="H151" s="27" t="s">
        <v>587</v>
      </c>
      <c r="I151" s="24">
        <v>442.62295081967216</v>
      </c>
      <c r="J151" s="28">
        <v>0.22</v>
      </c>
      <c r="K151" s="23">
        <v>540</v>
      </c>
      <c r="L151" s="23">
        <v>540</v>
      </c>
      <c r="M151" s="29" t="s">
        <v>309</v>
      </c>
      <c r="N151" s="23" t="s">
        <v>984</v>
      </c>
      <c r="O151" s="29" t="s">
        <v>309</v>
      </c>
      <c r="P151" s="29"/>
      <c r="Q151" s="29"/>
      <c r="R151" s="22"/>
      <c r="S151" s="23">
        <v>1</v>
      </c>
      <c r="T151" s="22"/>
      <c r="U151" s="22"/>
      <c r="V151" s="27"/>
      <c r="W151" s="23" t="s">
        <v>897</v>
      </c>
      <c r="X151" s="23" t="s">
        <v>897</v>
      </c>
      <c r="Y151" s="23" t="s">
        <v>903</v>
      </c>
      <c r="Z151" s="22" t="s">
        <v>889</v>
      </c>
      <c r="AA151" s="22"/>
      <c r="AB151" s="23">
        <f>_xlfn.XLOOKUP(E151,nomen!A:A,nomen!C:C,0)</f>
        <v>228</v>
      </c>
      <c r="AC151" s="23"/>
      <c r="AD151" s="27"/>
      <c r="AE151" s="27"/>
      <c r="AF151" s="27" t="s">
        <v>179</v>
      </c>
      <c r="AG151" s="30">
        <v>0.8</v>
      </c>
      <c r="AH151" s="24"/>
      <c r="AI151" s="21"/>
    </row>
    <row r="152" spans="1:35" x14ac:dyDescent="0.3">
      <c r="A152" s="22">
        <v>140</v>
      </c>
      <c r="B152" s="23">
        <v>2037427400562</v>
      </c>
      <c r="C152" s="26" t="s">
        <v>589</v>
      </c>
      <c r="D152" s="22" t="s">
        <v>590</v>
      </c>
      <c r="E152" s="22" t="s">
        <v>590</v>
      </c>
      <c r="F152" s="27" t="s">
        <v>1944</v>
      </c>
      <c r="G152" s="27"/>
      <c r="H152" s="27" t="s">
        <v>589</v>
      </c>
      <c r="I152" s="24">
        <v>180.32786885245903</v>
      </c>
      <c r="J152" s="28">
        <v>0.22</v>
      </c>
      <c r="K152" s="23">
        <v>220</v>
      </c>
      <c r="L152" s="23">
        <v>220</v>
      </c>
      <c r="M152" s="29" t="s">
        <v>309</v>
      </c>
      <c r="N152" s="23" t="s">
        <v>904</v>
      </c>
      <c r="O152" s="29" t="s">
        <v>309</v>
      </c>
      <c r="P152" s="29"/>
      <c r="Q152" s="29"/>
      <c r="R152" s="22"/>
      <c r="S152" s="23">
        <v>1</v>
      </c>
      <c r="T152" s="22"/>
      <c r="U152" s="22"/>
      <c r="V152" s="27"/>
      <c r="W152" s="23" t="s">
        <v>985</v>
      </c>
      <c r="X152" s="23" t="s">
        <v>939</v>
      </c>
      <c r="Y152" s="23" t="s">
        <v>985</v>
      </c>
      <c r="Z152" s="22" t="s">
        <v>889</v>
      </c>
      <c r="AA152" s="22"/>
      <c r="AB152" s="23">
        <f>_xlfn.XLOOKUP(E152,nomen!A:A,nomen!C:C,0)</f>
        <v>565</v>
      </c>
      <c r="AC152" s="23"/>
      <c r="AD152" s="27"/>
      <c r="AE152" s="27"/>
      <c r="AF152" s="27" t="s">
        <v>179</v>
      </c>
      <c r="AG152" s="30">
        <v>0.44500000000000001</v>
      </c>
      <c r="AH152" s="24"/>
      <c r="AI152" s="21"/>
    </row>
    <row r="153" spans="1:35" x14ac:dyDescent="0.3">
      <c r="A153" s="22">
        <v>141</v>
      </c>
      <c r="B153" s="23">
        <v>4673746972335</v>
      </c>
      <c r="C153" s="26" t="s">
        <v>591</v>
      </c>
      <c r="D153" s="22" t="s">
        <v>592</v>
      </c>
      <c r="E153" s="22" t="s">
        <v>592</v>
      </c>
      <c r="F153" s="27" t="s">
        <v>1944</v>
      </c>
      <c r="G153" s="27"/>
      <c r="H153" s="27" t="s">
        <v>591</v>
      </c>
      <c r="I153" s="24">
        <v>755.73770491803282</v>
      </c>
      <c r="J153" s="28">
        <v>0.22</v>
      </c>
      <c r="K153" s="23">
        <v>922</v>
      </c>
      <c r="L153" s="23">
        <v>922</v>
      </c>
      <c r="M153" s="29" t="s">
        <v>309</v>
      </c>
      <c r="N153" s="23" t="s">
        <v>968</v>
      </c>
      <c r="O153" s="29" t="s">
        <v>309</v>
      </c>
      <c r="P153" s="29"/>
      <c r="Q153" s="29"/>
      <c r="R153" s="22"/>
      <c r="S153" s="23">
        <v>1</v>
      </c>
      <c r="T153" s="22"/>
      <c r="U153" s="22"/>
      <c r="V153" s="27"/>
      <c r="W153" s="23">
        <v>100</v>
      </c>
      <c r="X153" s="23">
        <v>100</v>
      </c>
      <c r="Y153" s="23">
        <v>50</v>
      </c>
      <c r="Z153" s="22" t="s">
        <v>889</v>
      </c>
      <c r="AA153" s="22"/>
      <c r="AB153" s="23">
        <f>_xlfn.XLOOKUP(E153,nomen!A:A,nomen!C:C,0)</f>
        <v>481</v>
      </c>
      <c r="AC153" s="23"/>
      <c r="AD153" s="27"/>
      <c r="AE153" s="27"/>
      <c r="AF153" s="27" t="s">
        <v>179</v>
      </c>
      <c r="AG153" s="30">
        <v>0.2</v>
      </c>
      <c r="AH153" s="24"/>
      <c r="AI153" s="21"/>
    </row>
    <row r="154" spans="1:35" x14ac:dyDescent="0.3">
      <c r="A154" s="22">
        <v>142</v>
      </c>
      <c r="B154" s="23">
        <v>4673746970041</v>
      </c>
      <c r="C154" s="26" t="s">
        <v>593</v>
      </c>
      <c r="D154" s="22" t="s">
        <v>594</v>
      </c>
      <c r="E154" s="22" t="s">
        <v>594</v>
      </c>
      <c r="F154" s="27" t="s">
        <v>1944</v>
      </c>
      <c r="G154" s="27"/>
      <c r="H154" s="27" t="s">
        <v>593</v>
      </c>
      <c r="I154" s="24">
        <v>1281.1475409836066</v>
      </c>
      <c r="J154" s="28">
        <v>0.22</v>
      </c>
      <c r="K154" s="23">
        <v>1563</v>
      </c>
      <c r="L154" s="23">
        <v>1563</v>
      </c>
      <c r="M154" s="29" t="s">
        <v>309</v>
      </c>
      <c r="N154" s="23" t="s">
        <v>986</v>
      </c>
      <c r="O154" s="29" t="s">
        <v>309</v>
      </c>
      <c r="P154" s="29"/>
      <c r="Q154" s="29"/>
      <c r="R154" s="22"/>
      <c r="S154" s="23">
        <v>1</v>
      </c>
      <c r="T154" s="22"/>
      <c r="U154" s="22"/>
      <c r="V154" s="27"/>
      <c r="W154" s="23" t="s">
        <v>907</v>
      </c>
      <c r="X154" s="23" t="s">
        <v>908</v>
      </c>
      <c r="Y154" s="23" t="s">
        <v>909</v>
      </c>
      <c r="Z154" s="22" t="s">
        <v>889</v>
      </c>
      <c r="AA154" s="22"/>
      <c r="AB154" s="23">
        <f>_xlfn.XLOOKUP(E154,nomen!A:A,nomen!C:C,0)</f>
        <v>179</v>
      </c>
      <c r="AC154" s="23"/>
      <c r="AD154" s="27"/>
      <c r="AE154" s="27"/>
      <c r="AF154" s="27" t="s">
        <v>179</v>
      </c>
      <c r="AG154" s="30">
        <v>5</v>
      </c>
      <c r="AH154" s="24"/>
      <c r="AI154" s="21"/>
    </row>
    <row r="155" spans="1:35" x14ac:dyDescent="0.3">
      <c r="A155" s="22">
        <v>143</v>
      </c>
      <c r="B155" s="23">
        <v>4673746972793</v>
      </c>
      <c r="C155" s="26" t="s">
        <v>595</v>
      </c>
      <c r="D155" s="22" t="s">
        <v>596</v>
      </c>
      <c r="E155" s="22" t="s">
        <v>596</v>
      </c>
      <c r="F155" s="27" t="s">
        <v>1944</v>
      </c>
      <c r="G155" s="27"/>
      <c r="H155" s="27" t="s">
        <v>595</v>
      </c>
      <c r="I155" s="24">
        <v>537.70491803278685</v>
      </c>
      <c r="J155" s="28">
        <v>0.22</v>
      </c>
      <c r="K155" s="23">
        <v>656</v>
      </c>
      <c r="L155" s="23">
        <v>656</v>
      </c>
      <c r="M155" s="29" t="s">
        <v>309</v>
      </c>
      <c r="N155" s="23" t="s">
        <v>944</v>
      </c>
      <c r="O155" s="29" t="s">
        <v>309</v>
      </c>
      <c r="P155" s="29"/>
      <c r="Q155" s="29"/>
      <c r="R155" s="22"/>
      <c r="S155" s="23">
        <v>1</v>
      </c>
      <c r="T155" s="22"/>
      <c r="U155" s="22"/>
      <c r="V155" s="27"/>
      <c r="W155" s="23">
        <v>100</v>
      </c>
      <c r="X155" s="23">
        <v>100</v>
      </c>
      <c r="Y155" s="23">
        <v>50</v>
      </c>
      <c r="Z155" s="22" t="s">
        <v>889</v>
      </c>
      <c r="AA155" s="22"/>
      <c r="AB155" s="23">
        <f>_xlfn.XLOOKUP(E155,nomen!A:A,nomen!C:C,0)</f>
        <v>328</v>
      </c>
      <c r="AC155" s="23"/>
      <c r="AD155" s="27"/>
      <c r="AE155" s="27"/>
      <c r="AF155" s="27" t="s">
        <v>179</v>
      </c>
      <c r="AG155" s="30">
        <v>0.2</v>
      </c>
      <c r="AH155" s="24"/>
      <c r="AI155" s="21"/>
    </row>
    <row r="156" spans="1:35" x14ac:dyDescent="0.3">
      <c r="A156" s="22">
        <v>144</v>
      </c>
      <c r="B156" s="23">
        <v>4673746970904</v>
      </c>
      <c r="C156" s="26" t="s">
        <v>597</v>
      </c>
      <c r="D156" s="22" t="s">
        <v>598</v>
      </c>
      <c r="E156" s="22" t="s">
        <v>598</v>
      </c>
      <c r="F156" s="27" t="s">
        <v>1944</v>
      </c>
      <c r="G156" s="27"/>
      <c r="H156" s="27" t="s">
        <v>597</v>
      </c>
      <c r="I156" s="24">
        <v>304.09836065573774</v>
      </c>
      <c r="J156" s="28">
        <v>0.22</v>
      </c>
      <c r="K156" s="23">
        <v>371</v>
      </c>
      <c r="L156" s="23">
        <v>371</v>
      </c>
      <c r="M156" s="29" t="s">
        <v>309</v>
      </c>
      <c r="N156" s="23" t="s">
        <v>902</v>
      </c>
      <c r="O156" s="29" t="s">
        <v>309</v>
      </c>
      <c r="P156" s="29"/>
      <c r="Q156" s="29"/>
      <c r="R156" s="22"/>
      <c r="S156" s="23">
        <v>1</v>
      </c>
      <c r="T156" s="22"/>
      <c r="U156" s="22"/>
      <c r="V156" s="27"/>
      <c r="W156" s="23" t="s">
        <v>897</v>
      </c>
      <c r="X156" s="23" t="s">
        <v>897</v>
      </c>
      <c r="Y156" s="23" t="s">
        <v>903</v>
      </c>
      <c r="Z156" s="22" t="s">
        <v>889</v>
      </c>
      <c r="AA156" s="22"/>
      <c r="AB156" s="23">
        <f>_xlfn.XLOOKUP(E156,nomen!A:A,nomen!C:C,0)</f>
        <v>727</v>
      </c>
      <c r="AC156" s="23"/>
      <c r="AD156" s="27"/>
      <c r="AE156" s="27"/>
      <c r="AF156" s="27" t="s">
        <v>179</v>
      </c>
      <c r="AG156" s="30">
        <v>0.7</v>
      </c>
      <c r="AH156" s="24"/>
      <c r="AI156" s="21"/>
    </row>
    <row r="157" spans="1:35" x14ac:dyDescent="0.3">
      <c r="A157" s="22">
        <v>145</v>
      </c>
      <c r="B157" s="23">
        <v>4673746970577</v>
      </c>
      <c r="C157" s="26" t="s">
        <v>599</v>
      </c>
      <c r="D157" s="22" t="s">
        <v>600</v>
      </c>
      <c r="E157" s="22" t="s">
        <v>600</v>
      </c>
      <c r="F157" s="27" t="s">
        <v>1944</v>
      </c>
      <c r="G157" s="27"/>
      <c r="H157" s="27" t="s">
        <v>599</v>
      </c>
      <c r="I157" s="24">
        <v>283.60655737704917</v>
      </c>
      <c r="J157" s="28">
        <v>0.22</v>
      </c>
      <c r="K157" s="23">
        <v>346</v>
      </c>
      <c r="L157" s="23">
        <v>346</v>
      </c>
      <c r="M157" s="29" t="s">
        <v>309</v>
      </c>
      <c r="N157" s="23" t="s">
        <v>906</v>
      </c>
      <c r="O157" s="29" t="s">
        <v>309</v>
      </c>
      <c r="P157" s="29"/>
      <c r="Q157" s="29"/>
      <c r="R157" s="22"/>
      <c r="S157" s="23">
        <v>1</v>
      </c>
      <c r="T157" s="22"/>
      <c r="U157" s="22"/>
      <c r="V157" s="27"/>
      <c r="W157" s="23" t="s">
        <v>897</v>
      </c>
      <c r="X157" s="23" t="s">
        <v>897</v>
      </c>
      <c r="Y157" s="23" t="s">
        <v>903</v>
      </c>
      <c r="Z157" s="22" t="s">
        <v>889</v>
      </c>
      <c r="AA157" s="22"/>
      <c r="AB157" s="23">
        <f>_xlfn.XLOOKUP(E157,nomen!A:A,nomen!C:C,0)</f>
        <v>533</v>
      </c>
      <c r="AC157" s="23"/>
      <c r="AD157" s="27"/>
      <c r="AE157" s="27"/>
      <c r="AF157" s="27" t="s">
        <v>179</v>
      </c>
      <c r="AG157" s="30">
        <v>0.6</v>
      </c>
      <c r="AH157" s="24"/>
      <c r="AI157" s="21"/>
    </row>
    <row r="158" spans="1:35" x14ac:dyDescent="0.3">
      <c r="A158" s="22">
        <v>146</v>
      </c>
      <c r="B158" s="23">
        <v>4673746972434</v>
      </c>
      <c r="C158" s="26" t="s">
        <v>601</v>
      </c>
      <c r="D158" s="22" t="s">
        <v>602</v>
      </c>
      <c r="E158" s="22" t="s">
        <v>602</v>
      </c>
      <c r="F158" s="27" t="s">
        <v>1944</v>
      </c>
      <c r="G158" s="27"/>
      <c r="H158" s="27" t="s">
        <v>601</v>
      </c>
      <c r="I158" s="24">
        <v>320.49180327868851</v>
      </c>
      <c r="J158" s="28">
        <v>0.22</v>
      </c>
      <c r="K158" s="23">
        <v>391</v>
      </c>
      <c r="L158" s="23">
        <v>391</v>
      </c>
      <c r="M158" s="29" t="s">
        <v>309</v>
      </c>
      <c r="N158" s="23" t="s">
        <v>902</v>
      </c>
      <c r="O158" s="29" t="s">
        <v>309</v>
      </c>
      <c r="P158" s="29"/>
      <c r="Q158" s="29"/>
      <c r="R158" s="22"/>
      <c r="S158" s="23">
        <v>1</v>
      </c>
      <c r="T158" s="22"/>
      <c r="U158" s="22"/>
      <c r="V158" s="27"/>
      <c r="W158" s="23">
        <v>100</v>
      </c>
      <c r="X158" s="23">
        <v>100</v>
      </c>
      <c r="Y158" s="23">
        <v>50</v>
      </c>
      <c r="Z158" s="22" t="s">
        <v>889</v>
      </c>
      <c r="AA158" s="22"/>
      <c r="AB158" s="23">
        <f>_xlfn.XLOOKUP(E158,nomen!A:A,nomen!C:C,0)</f>
        <v>210</v>
      </c>
      <c r="AC158" s="23"/>
      <c r="AD158" s="27"/>
      <c r="AE158" s="27"/>
      <c r="AF158" s="27" t="s">
        <v>179</v>
      </c>
      <c r="AG158" s="30">
        <v>0.4</v>
      </c>
      <c r="AH158" s="24"/>
      <c r="AI158" s="21"/>
    </row>
    <row r="159" spans="1:35" x14ac:dyDescent="0.3">
      <c r="A159" s="22">
        <v>147</v>
      </c>
      <c r="B159" s="23">
        <v>4673746972274</v>
      </c>
      <c r="C159" s="26" t="s">
        <v>603</v>
      </c>
      <c r="D159" s="22" t="s">
        <v>604</v>
      </c>
      <c r="E159" s="22" t="s">
        <v>604</v>
      </c>
      <c r="F159" s="27" t="s">
        <v>1944</v>
      </c>
      <c r="G159" s="27"/>
      <c r="H159" s="27" t="s">
        <v>603</v>
      </c>
      <c r="I159" s="24">
        <v>353.27868852459017</v>
      </c>
      <c r="J159" s="28">
        <v>0.22</v>
      </c>
      <c r="K159" s="23">
        <v>431</v>
      </c>
      <c r="L159" s="23">
        <v>431</v>
      </c>
      <c r="M159" s="29" t="s">
        <v>309</v>
      </c>
      <c r="N159" s="23" t="s">
        <v>958</v>
      </c>
      <c r="O159" s="29" t="s">
        <v>309</v>
      </c>
      <c r="P159" s="29"/>
      <c r="Q159" s="29"/>
      <c r="R159" s="22"/>
      <c r="S159" s="23">
        <v>1</v>
      </c>
      <c r="T159" s="22"/>
      <c r="U159" s="22"/>
      <c r="V159" s="27"/>
      <c r="W159" s="23">
        <v>100</v>
      </c>
      <c r="X159" s="23">
        <v>100</v>
      </c>
      <c r="Y159" s="23">
        <v>50</v>
      </c>
      <c r="Z159" s="22" t="s">
        <v>889</v>
      </c>
      <c r="AA159" s="22"/>
      <c r="AB159" s="23">
        <f>_xlfn.XLOOKUP(E159,nomen!A:A,nomen!C:C,0)</f>
        <v>692</v>
      </c>
      <c r="AC159" s="23"/>
      <c r="AD159" s="27"/>
      <c r="AE159" s="27"/>
      <c r="AF159" s="27" t="s">
        <v>179</v>
      </c>
      <c r="AG159" s="30">
        <v>0.2</v>
      </c>
      <c r="AH159" s="24"/>
      <c r="AI159" s="21"/>
    </row>
    <row r="160" spans="1:35" x14ac:dyDescent="0.3">
      <c r="A160" s="22">
        <v>148</v>
      </c>
      <c r="B160" s="23">
        <v>4652245476445</v>
      </c>
      <c r="C160" s="26" t="s">
        <v>605</v>
      </c>
      <c r="D160" s="22" t="s">
        <v>606</v>
      </c>
      <c r="E160" s="22" t="s">
        <v>606</v>
      </c>
      <c r="F160" s="27" t="s">
        <v>1944</v>
      </c>
      <c r="G160" s="27"/>
      <c r="H160" s="27" t="s">
        <v>605</v>
      </c>
      <c r="I160" s="24">
        <v>304.09836065573774</v>
      </c>
      <c r="J160" s="28">
        <v>0.22</v>
      </c>
      <c r="K160" s="23">
        <v>371</v>
      </c>
      <c r="L160" s="23">
        <v>371</v>
      </c>
      <c r="M160" s="29" t="s">
        <v>309</v>
      </c>
      <c r="N160" s="23" t="s">
        <v>902</v>
      </c>
      <c r="O160" s="29" t="s">
        <v>309</v>
      </c>
      <c r="P160" s="29"/>
      <c r="Q160" s="29"/>
      <c r="R160" s="22"/>
      <c r="S160" s="23">
        <v>1</v>
      </c>
      <c r="T160" s="22"/>
      <c r="U160" s="22"/>
      <c r="V160" s="27"/>
      <c r="W160" s="23" t="s">
        <v>897</v>
      </c>
      <c r="X160" s="23" t="s">
        <v>897</v>
      </c>
      <c r="Y160" s="23" t="s">
        <v>903</v>
      </c>
      <c r="Z160" s="22" t="s">
        <v>889</v>
      </c>
      <c r="AA160" s="22"/>
      <c r="AB160" s="23">
        <f>_xlfn.XLOOKUP(E160,nomen!A:A,nomen!C:C,0)</f>
        <v>588</v>
      </c>
      <c r="AC160" s="23"/>
      <c r="AD160" s="27"/>
      <c r="AE160" s="27"/>
      <c r="AF160" s="27" t="s">
        <v>179</v>
      </c>
      <c r="AG160" s="30">
        <v>0.8</v>
      </c>
      <c r="AH160" s="24"/>
      <c r="AI160" s="21"/>
    </row>
    <row r="161" spans="1:35" x14ac:dyDescent="0.3">
      <c r="A161" s="22">
        <v>149</v>
      </c>
      <c r="B161" s="23">
        <v>2037427398623</v>
      </c>
      <c r="C161" s="26" t="s">
        <v>607</v>
      </c>
      <c r="D161" s="22" t="s">
        <v>608</v>
      </c>
      <c r="E161" s="22" t="s">
        <v>608</v>
      </c>
      <c r="F161" s="27" t="s">
        <v>1944</v>
      </c>
      <c r="G161" s="27"/>
      <c r="H161" s="27" t="s">
        <v>607</v>
      </c>
      <c r="I161" s="24">
        <v>9169.6721311475412</v>
      </c>
      <c r="J161" s="28">
        <v>0.22</v>
      </c>
      <c r="K161" s="23">
        <v>11187</v>
      </c>
      <c r="L161" s="23">
        <v>11187</v>
      </c>
      <c r="M161" s="29" t="s">
        <v>309</v>
      </c>
      <c r="N161" s="23" t="s">
        <v>987</v>
      </c>
      <c r="O161" s="29" t="s">
        <v>309</v>
      </c>
      <c r="P161" s="29"/>
      <c r="Q161" s="29"/>
      <c r="R161" s="22"/>
      <c r="S161" s="23">
        <v>1</v>
      </c>
      <c r="T161" s="22"/>
      <c r="U161" s="22"/>
      <c r="V161" s="27"/>
      <c r="W161" s="23" t="s">
        <v>891</v>
      </c>
      <c r="X161" s="23" t="s">
        <v>988</v>
      </c>
      <c r="Y161" s="23" t="s">
        <v>891</v>
      </c>
      <c r="Z161" s="22" t="s">
        <v>889</v>
      </c>
      <c r="AA161" s="22"/>
      <c r="AB161" s="23">
        <f>_xlfn.XLOOKUP(E161,nomen!A:A,nomen!C:C,0)</f>
        <v>1</v>
      </c>
      <c r="AC161" s="23"/>
      <c r="AD161" s="27"/>
      <c r="AE161" s="27"/>
      <c r="AF161" s="27" t="s">
        <v>179</v>
      </c>
      <c r="AG161" s="30">
        <v>4.5</v>
      </c>
      <c r="AH161" s="24"/>
      <c r="AI161" s="21"/>
    </row>
    <row r="162" spans="1:35" x14ac:dyDescent="0.3">
      <c r="A162" s="22">
        <v>150</v>
      </c>
      <c r="B162" s="23">
        <v>4652245476438</v>
      </c>
      <c r="C162" s="26" t="s">
        <v>609</v>
      </c>
      <c r="D162" s="22" t="s">
        <v>610</v>
      </c>
      <c r="E162" s="22" t="s">
        <v>610</v>
      </c>
      <c r="F162" s="27" t="s">
        <v>1944</v>
      </c>
      <c r="G162" s="27"/>
      <c r="H162" s="27" t="s">
        <v>609</v>
      </c>
      <c r="I162" s="24">
        <v>1898.360655737705</v>
      </c>
      <c r="J162" s="28">
        <v>0.22</v>
      </c>
      <c r="K162" s="23">
        <v>2316</v>
      </c>
      <c r="L162" s="23">
        <v>2316</v>
      </c>
      <c r="M162" s="29" t="s">
        <v>309</v>
      </c>
      <c r="N162" s="23" t="s">
        <v>989</v>
      </c>
      <c r="O162" s="29" t="s">
        <v>309</v>
      </c>
      <c r="P162" s="29"/>
      <c r="Q162" s="29"/>
      <c r="R162" s="22"/>
      <c r="S162" s="23">
        <v>1</v>
      </c>
      <c r="T162" s="22"/>
      <c r="U162" s="22"/>
      <c r="V162" s="27"/>
      <c r="W162" s="23" t="s">
        <v>907</v>
      </c>
      <c r="X162" s="23" t="s">
        <v>908</v>
      </c>
      <c r="Y162" s="23" t="s">
        <v>909</v>
      </c>
      <c r="Z162" s="22" t="s">
        <v>889</v>
      </c>
      <c r="AA162" s="22"/>
      <c r="AB162" s="23">
        <f>_xlfn.XLOOKUP(E162,nomen!A:A,nomen!C:C,0)</f>
        <v>105</v>
      </c>
      <c r="AC162" s="23"/>
      <c r="AD162" s="27"/>
      <c r="AE162" s="27"/>
      <c r="AF162" s="27" t="s">
        <v>179</v>
      </c>
      <c r="AG162" s="30">
        <v>5</v>
      </c>
      <c r="AH162" s="24"/>
      <c r="AI162" s="21"/>
    </row>
    <row r="163" spans="1:35" x14ac:dyDescent="0.3">
      <c r="A163" s="22">
        <v>151</v>
      </c>
      <c r="B163" s="23">
        <v>4673746970218</v>
      </c>
      <c r="C163" s="26" t="s">
        <v>611</v>
      </c>
      <c r="D163" s="22" t="s">
        <v>612</v>
      </c>
      <c r="E163" s="22" t="s">
        <v>612</v>
      </c>
      <c r="F163" s="27" t="s">
        <v>1944</v>
      </c>
      <c r="G163" s="27"/>
      <c r="H163" s="27" t="s">
        <v>611</v>
      </c>
      <c r="I163" s="24">
        <v>304.09836065573774</v>
      </c>
      <c r="J163" s="28">
        <v>0.22</v>
      </c>
      <c r="K163" s="23">
        <v>371</v>
      </c>
      <c r="L163" s="23">
        <v>371</v>
      </c>
      <c r="M163" s="29" t="s">
        <v>309</v>
      </c>
      <c r="N163" s="23" t="s">
        <v>902</v>
      </c>
      <c r="O163" s="29" t="s">
        <v>309</v>
      </c>
      <c r="P163" s="29"/>
      <c r="Q163" s="29"/>
      <c r="R163" s="22"/>
      <c r="S163" s="23">
        <v>1</v>
      </c>
      <c r="T163" s="22"/>
      <c r="U163" s="22"/>
      <c r="V163" s="27"/>
      <c r="W163" s="23" t="s">
        <v>917</v>
      </c>
      <c r="X163" s="23" t="s">
        <v>917</v>
      </c>
      <c r="Y163" s="23" t="s">
        <v>918</v>
      </c>
      <c r="Z163" s="22" t="s">
        <v>889</v>
      </c>
      <c r="AA163" s="22"/>
      <c r="AB163" s="23">
        <f>_xlfn.XLOOKUP(E163,nomen!A:A,nomen!C:C,0)</f>
        <v>1</v>
      </c>
      <c r="AC163" s="23"/>
      <c r="AD163" s="27"/>
      <c r="AE163" s="27"/>
      <c r="AF163" s="27" t="s">
        <v>179</v>
      </c>
      <c r="AG163" s="30">
        <v>0.2</v>
      </c>
      <c r="AH163" s="24"/>
      <c r="AI163" s="21"/>
    </row>
    <row r="164" spans="1:35" x14ac:dyDescent="0.3">
      <c r="A164" s="22">
        <v>152</v>
      </c>
      <c r="B164" s="23">
        <v>4673746972922</v>
      </c>
      <c r="C164" s="26" t="s">
        <v>613</v>
      </c>
      <c r="D164" s="22" t="s">
        <v>614</v>
      </c>
      <c r="E164" s="22" t="s">
        <v>614</v>
      </c>
      <c r="F164" s="27" t="s">
        <v>1944</v>
      </c>
      <c r="G164" s="27"/>
      <c r="H164" s="27" t="s">
        <v>613</v>
      </c>
      <c r="I164" s="24">
        <v>755.73770491803282</v>
      </c>
      <c r="J164" s="28">
        <v>0.22</v>
      </c>
      <c r="K164" s="23">
        <v>922</v>
      </c>
      <c r="L164" s="23">
        <v>922</v>
      </c>
      <c r="M164" s="29" t="s">
        <v>309</v>
      </c>
      <c r="N164" s="23" t="s">
        <v>968</v>
      </c>
      <c r="O164" s="29" t="s">
        <v>309</v>
      </c>
      <c r="P164" s="29"/>
      <c r="Q164" s="29"/>
      <c r="R164" s="22"/>
      <c r="S164" s="23">
        <v>1</v>
      </c>
      <c r="T164" s="22"/>
      <c r="U164" s="22"/>
      <c r="V164" s="27"/>
      <c r="W164" s="23">
        <v>100</v>
      </c>
      <c r="X164" s="23">
        <v>100</v>
      </c>
      <c r="Y164" s="23">
        <v>50</v>
      </c>
      <c r="Z164" s="22" t="s">
        <v>889</v>
      </c>
      <c r="AA164" s="22"/>
      <c r="AB164" s="23">
        <f>_xlfn.XLOOKUP(E164,nomen!A:A,nomen!C:C,0)</f>
        <v>214</v>
      </c>
      <c r="AC164" s="23"/>
      <c r="AD164" s="27"/>
      <c r="AE164" s="27"/>
      <c r="AF164" s="27" t="s">
        <v>179</v>
      </c>
      <c r="AG164" s="30">
        <v>1</v>
      </c>
      <c r="AH164" s="24"/>
      <c r="AI164" s="21"/>
    </row>
    <row r="165" spans="1:35" x14ac:dyDescent="0.3">
      <c r="A165" s="22">
        <v>153</v>
      </c>
      <c r="B165" s="23">
        <v>4652245476186</v>
      </c>
      <c r="C165" s="26" t="s">
        <v>615</v>
      </c>
      <c r="D165" s="22" t="s">
        <v>616</v>
      </c>
      <c r="E165" s="22" t="s">
        <v>616</v>
      </c>
      <c r="F165" s="27" t="s">
        <v>1944</v>
      </c>
      <c r="G165" s="27"/>
      <c r="H165" s="27" t="s">
        <v>615</v>
      </c>
      <c r="I165" s="24">
        <v>2824.5901639344261</v>
      </c>
      <c r="J165" s="28">
        <v>0.22</v>
      </c>
      <c r="K165" s="23">
        <v>3446</v>
      </c>
      <c r="L165" s="23">
        <v>3446</v>
      </c>
      <c r="M165" s="29" t="s">
        <v>309</v>
      </c>
      <c r="N165" s="23" t="s">
        <v>990</v>
      </c>
      <c r="O165" s="29" t="s">
        <v>309</v>
      </c>
      <c r="P165" s="29"/>
      <c r="Q165" s="29"/>
      <c r="R165" s="22"/>
      <c r="S165" s="23">
        <v>1</v>
      </c>
      <c r="T165" s="22"/>
      <c r="U165" s="22"/>
      <c r="V165" s="27"/>
      <c r="W165" s="23">
        <v>100</v>
      </c>
      <c r="X165" s="23">
        <v>100</v>
      </c>
      <c r="Y165" s="23">
        <v>50</v>
      </c>
      <c r="Z165" s="22" t="s">
        <v>889</v>
      </c>
      <c r="AA165" s="22"/>
      <c r="AB165" s="23">
        <f>_xlfn.XLOOKUP(E165,nomen!A:A,nomen!C:C,0)</f>
        <v>123</v>
      </c>
      <c r="AC165" s="23"/>
      <c r="AD165" s="27"/>
      <c r="AE165" s="27"/>
      <c r="AF165" s="27" t="s">
        <v>179</v>
      </c>
      <c r="AG165" s="30">
        <v>21</v>
      </c>
      <c r="AH165" s="24"/>
      <c r="AI165" s="21"/>
    </row>
    <row r="166" spans="1:35" x14ac:dyDescent="0.3">
      <c r="A166" s="22">
        <v>154</v>
      </c>
      <c r="B166" s="23">
        <v>4673746972366</v>
      </c>
      <c r="C166" s="26" t="s">
        <v>617</v>
      </c>
      <c r="D166" s="22" t="s">
        <v>618</v>
      </c>
      <c r="E166" s="22" t="s">
        <v>618</v>
      </c>
      <c r="F166" s="27" t="s">
        <v>1944</v>
      </c>
      <c r="G166" s="27"/>
      <c r="H166" s="27" t="s">
        <v>617</v>
      </c>
      <c r="I166" s="24">
        <v>591.80327868852464</v>
      </c>
      <c r="J166" s="28">
        <v>0.22</v>
      </c>
      <c r="K166" s="23">
        <v>722</v>
      </c>
      <c r="L166" s="23">
        <v>722</v>
      </c>
      <c r="M166" s="29" t="s">
        <v>309</v>
      </c>
      <c r="N166" s="23" t="s">
        <v>940</v>
      </c>
      <c r="O166" s="29" t="s">
        <v>309</v>
      </c>
      <c r="P166" s="29"/>
      <c r="Q166" s="29"/>
      <c r="R166" s="22"/>
      <c r="S166" s="23">
        <v>1</v>
      </c>
      <c r="T166" s="22"/>
      <c r="U166" s="22"/>
      <c r="V166" s="27"/>
      <c r="W166" s="23">
        <v>100</v>
      </c>
      <c r="X166" s="23">
        <v>100</v>
      </c>
      <c r="Y166" s="23">
        <v>50</v>
      </c>
      <c r="Z166" s="22" t="s">
        <v>889</v>
      </c>
      <c r="AA166" s="22"/>
      <c r="AB166" s="23">
        <f>_xlfn.XLOOKUP(E166,nomen!A:A,nomen!C:C,0)</f>
        <v>811</v>
      </c>
      <c r="AC166" s="23"/>
      <c r="AD166" s="27"/>
      <c r="AE166" s="27"/>
      <c r="AF166" s="27" t="s">
        <v>179</v>
      </c>
      <c r="AG166" s="30">
        <v>0.1</v>
      </c>
      <c r="AH166" s="24"/>
      <c r="AI166" s="21"/>
    </row>
    <row r="167" spans="1:35" ht="27.6" x14ac:dyDescent="0.3">
      <c r="A167" s="22">
        <v>155</v>
      </c>
      <c r="B167" s="23">
        <v>4673746974094</v>
      </c>
      <c r="C167" s="26" t="s">
        <v>619</v>
      </c>
      <c r="D167" s="22" t="s">
        <v>620</v>
      </c>
      <c r="E167" s="22" t="s">
        <v>620</v>
      </c>
      <c r="F167" s="27" t="s">
        <v>1944</v>
      </c>
      <c r="G167" s="27"/>
      <c r="H167" s="27" t="s">
        <v>619</v>
      </c>
      <c r="I167" s="24">
        <v>200.81967213114754</v>
      </c>
      <c r="J167" s="28">
        <v>0.22</v>
      </c>
      <c r="K167" s="23">
        <v>245</v>
      </c>
      <c r="L167" s="23">
        <v>245</v>
      </c>
      <c r="M167" s="29" t="s">
        <v>309</v>
      </c>
      <c r="N167" s="23" t="s">
        <v>910</v>
      </c>
      <c r="O167" s="29" t="s">
        <v>309</v>
      </c>
      <c r="P167" s="29"/>
      <c r="Q167" s="29"/>
      <c r="R167" s="22"/>
      <c r="S167" s="23">
        <v>1</v>
      </c>
      <c r="T167" s="22"/>
      <c r="U167" s="22"/>
      <c r="V167" s="27"/>
      <c r="W167" s="23" t="s">
        <v>893</v>
      </c>
      <c r="X167" s="23">
        <v>80</v>
      </c>
      <c r="Y167" s="23">
        <v>80</v>
      </c>
      <c r="Z167" s="22" t="s">
        <v>889</v>
      </c>
      <c r="AA167" s="22"/>
      <c r="AB167" s="23">
        <f>_xlfn.XLOOKUP(E167,nomen!A:A,nomen!C:C,0)</f>
        <v>621</v>
      </c>
      <c r="AC167" s="23"/>
      <c r="AD167" s="27"/>
      <c r="AE167" s="27"/>
      <c r="AF167" s="27" t="s">
        <v>179</v>
      </c>
      <c r="AG167" s="30">
        <v>0.5</v>
      </c>
      <c r="AH167" s="24"/>
      <c r="AI167" s="21"/>
    </row>
    <row r="168" spans="1:35" x14ac:dyDescent="0.3">
      <c r="A168" s="22">
        <v>156</v>
      </c>
      <c r="B168" s="23">
        <v>4673746972830</v>
      </c>
      <c r="C168" s="26" t="s">
        <v>621</v>
      </c>
      <c r="D168" s="22" t="s">
        <v>622</v>
      </c>
      <c r="E168" s="22" t="s">
        <v>622</v>
      </c>
      <c r="F168" s="27" t="s">
        <v>1944</v>
      </c>
      <c r="G168" s="27"/>
      <c r="H168" s="27" t="s">
        <v>621</v>
      </c>
      <c r="I168" s="24">
        <v>1244.2622950819673</v>
      </c>
      <c r="J168" s="28">
        <v>0.22</v>
      </c>
      <c r="K168" s="23">
        <v>1518</v>
      </c>
      <c r="L168" s="23">
        <v>1518</v>
      </c>
      <c r="M168" s="29" t="s">
        <v>309</v>
      </c>
      <c r="N168" s="23" t="s">
        <v>991</v>
      </c>
      <c r="O168" s="29" t="s">
        <v>309</v>
      </c>
      <c r="P168" s="29"/>
      <c r="Q168" s="29"/>
      <c r="R168" s="22"/>
      <c r="S168" s="23">
        <v>1</v>
      </c>
      <c r="T168" s="22"/>
      <c r="U168" s="22"/>
      <c r="V168" s="27"/>
      <c r="W168" s="23">
        <v>100</v>
      </c>
      <c r="X168" s="23">
        <v>100</v>
      </c>
      <c r="Y168" s="23">
        <v>50</v>
      </c>
      <c r="Z168" s="22" t="s">
        <v>889</v>
      </c>
      <c r="AA168" s="22"/>
      <c r="AB168" s="23">
        <f>_xlfn.XLOOKUP(E168,nomen!A:A,nomen!C:C,0)</f>
        <v>344</v>
      </c>
      <c r="AC168" s="23"/>
      <c r="AD168" s="27"/>
      <c r="AE168" s="27"/>
      <c r="AF168" s="27" t="s">
        <v>179</v>
      </c>
      <c r="AG168" s="30">
        <v>0.3</v>
      </c>
      <c r="AH168" s="24"/>
      <c r="AI168" s="21"/>
    </row>
    <row r="169" spans="1:35" x14ac:dyDescent="0.3">
      <c r="A169" s="22">
        <v>157</v>
      </c>
      <c r="B169" s="23">
        <v>4673746972014</v>
      </c>
      <c r="C169" s="26" t="s">
        <v>623</v>
      </c>
      <c r="D169" s="22" t="s">
        <v>624</v>
      </c>
      <c r="E169" s="22" t="s">
        <v>624</v>
      </c>
      <c r="F169" s="27" t="s">
        <v>1944</v>
      </c>
      <c r="G169" s="27"/>
      <c r="H169" s="27" t="s">
        <v>623</v>
      </c>
      <c r="I169" s="24">
        <v>190.1639344262295</v>
      </c>
      <c r="J169" s="28">
        <v>0.22</v>
      </c>
      <c r="K169" s="23">
        <v>232</v>
      </c>
      <c r="L169" s="23">
        <v>232</v>
      </c>
      <c r="M169" s="29" t="s">
        <v>309</v>
      </c>
      <c r="N169" s="23" t="s">
        <v>904</v>
      </c>
      <c r="O169" s="29" t="s">
        <v>309</v>
      </c>
      <c r="P169" s="29"/>
      <c r="Q169" s="29"/>
      <c r="R169" s="22"/>
      <c r="S169" s="23">
        <v>1</v>
      </c>
      <c r="T169" s="22"/>
      <c r="U169" s="22"/>
      <c r="V169" s="27"/>
      <c r="W169" s="23">
        <v>100</v>
      </c>
      <c r="X169" s="23">
        <v>100</v>
      </c>
      <c r="Y169" s="23">
        <v>50</v>
      </c>
      <c r="Z169" s="22" t="s">
        <v>889</v>
      </c>
      <c r="AA169" s="22"/>
      <c r="AB169" s="23">
        <f>_xlfn.XLOOKUP(E169,nomen!A:A,nomen!C:C,0)</f>
        <v>728</v>
      </c>
      <c r="AC169" s="23"/>
      <c r="AD169" s="27"/>
      <c r="AE169" s="27"/>
      <c r="AF169" s="27" t="s">
        <v>179</v>
      </c>
      <c r="AG169" s="30">
        <v>0.1</v>
      </c>
      <c r="AH169" s="24"/>
      <c r="AI169" s="21"/>
    </row>
    <row r="170" spans="1:35" x14ac:dyDescent="0.3">
      <c r="A170" s="22">
        <v>158</v>
      </c>
      <c r="B170" s="23">
        <v>4673746972625</v>
      </c>
      <c r="C170" s="26" t="s">
        <v>625</v>
      </c>
      <c r="D170" s="22" t="s">
        <v>626</v>
      </c>
      <c r="E170" s="22" t="s">
        <v>626</v>
      </c>
      <c r="F170" s="27" t="s">
        <v>1944</v>
      </c>
      <c r="G170" s="27"/>
      <c r="H170" s="27" t="s">
        <v>625</v>
      </c>
      <c r="I170" s="24">
        <v>245.08196721311475</v>
      </c>
      <c r="J170" s="28">
        <v>0.22</v>
      </c>
      <c r="K170" s="23">
        <v>299</v>
      </c>
      <c r="L170" s="23">
        <v>299</v>
      </c>
      <c r="M170" s="29" t="s">
        <v>309</v>
      </c>
      <c r="N170" s="23" t="s">
        <v>943</v>
      </c>
      <c r="O170" s="29" t="s">
        <v>309</v>
      </c>
      <c r="P170" s="29"/>
      <c r="Q170" s="29"/>
      <c r="R170" s="22"/>
      <c r="S170" s="23">
        <v>1</v>
      </c>
      <c r="T170" s="22"/>
      <c r="U170" s="22"/>
      <c r="V170" s="27"/>
      <c r="W170" s="23">
        <v>100</v>
      </c>
      <c r="X170" s="23">
        <v>100</v>
      </c>
      <c r="Y170" s="23">
        <v>50</v>
      </c>
      <c r="Z170" s="22" t="s">
        <v>889</v>
      </c>
      <c r="AA170" s="22"/>
      <c r="AB170" s="23">
        <f>_xlfn.XLOOKUP(E170,nomen!A:A,nomen!C:C,0)</f>
        <v>320</v>
      </c>
      <c r="AC170" s="23"/>
      <c r="AD170" s="27"/>
      <c r="AE170" s="27"/>
      <c r="AF170" s="27" t="s">
        <v>179</v>
      </c>
      <c r="AG170" s="30">
        <v>0.1</v>
      </c>
      <c r="AH170" s="24"/>
      <c r="AI170" s="21"/>
    </row>
    <row r="171" spans="1:35" x14ac:dyDescent="0.3">
      <c r="A171" s="22">
        <v>159</v>
      </c>
      <c r="B171" s="23">
        <v>2037510035275</v>
      </c>
      <c r="C171" s="26" t="s">
        <v>627</v>
      </c>
      <c r="D171" s="22" t="s">
        <v>628</v>
      </c>
      <c r="E171" s="22" t="s">
        <v>628</v>
      </c>
      <c r="F171" s="27" t="s">
        <v>1944</v>
      </c>
      <c r="G171" s="27"/>
      <c r="H171" s="27" t="s">
        <v>627</v>
      </c>
      <c r="I171" s="24">
        <v>104.09836065573771</v>
      </c>
      <c r="J171" s="28">
        <v>0.22</v>
      </c>
      <c r="K171" s="23">
        <v>127</v>
      </c>
      <c r="L171" s="23">
        <v>127</v>
      </c>
      <c r="M171" s="29" t="s">
        <v>309</v>
      </c>
      <c r="N171" s="23" t="s">
        <v>899</v>
      </c>
      <c r="O171" s="29" t="s">
        <v>309</v>
      </c>
      <c r="P171" s="29"/>
      <c r="Q171" s="29"/>
      <c r="R171" s="22"/>
      <c r="S171" s="23">
        <v>1</v>
      </c>
      <c r="T171" s="22"/>
      <c r="U171" s="22"/>
      <c r="V171" s="27"/>
      <c r="W171" s="23" t="s">
        <v>891</v>
      </c>
      <c r="X171" s="23" t="s">
        <v>891</v>
      </c>
      <c r="Y171" s="23" t="s">
        <v>915</v>
      </c>
      <c r="Z171" s="22" t="s">
        <v>889</v>
      </c>
      <c r="AA171" s="22"/>
      <c r="AB171" s="23">
        <f>_xlfn.XLOOKUP(E171,nomen!A:A,nomen!C:C,0)</f>
        <v>2747</v>
      </c>
      <c r="AC171" s="23"/>
      <c r="AD171" s="27"/>
      <c r="AE171" s="27"/>
      <c r="AF171" s="27" t="s">
        <v>179</v>
      </c>
      <c r="AG171" s="30">
        <v>0.05</v>
      </c>
      <c r="AH171" s="24"/>
      <c r="AI171" s="21"/>
    </row>
    <row r="172" spans="1:35" x14ac:dyDescent="0.3">
      <c r="A172" s="22">
        <v>160</v>
      </c>
      <c r="B172" s="23">
        <v>4652245476810</v>
      </c>
      <c r="C172" s="26" t="s">
        <v>629</v>
      </c>
      <c r="D172" s="22" t="s">
        <v>630</v>
      </c>
      <c r="E172" s="22" t="s">
        <v>630</v>
      </c>
      <c r="F172" s="27" t="s">
        <v>1944</v>
      </c>
      <c r="G172" s="27"/>
      <c r="H172" s="27" t="s">
        <v>629</v>
      </c>
      <c r="I172" s="24">
        <v>509.8360655737705</v>
      </c>
      <c r="J172" s="28">
        <v>0.22</v>
      </c>
      <c r="K172" s="23">
        <v>622</v>
      </c>
      <c r="L172" s="23">
        <v>622</v>
      </c>
      <c r="M172" s="29" t="s">
        <v>309</v>
      </c>
      <c r="N172" s="23" t="s">
        <v>944</v>
      </c>
      <c r="O172" s="29" t="s">
        <v>309</v>
      </c>
      <c r="P172" s="29"/>
      <c r="Q172" s="29"/>
      <c r="R172" s="22"/>
      <c r="S172" s="23">
        <v>1</v>
      </c>
      <c r="T172" s="22"/>
      <c r="U172" s="22"/>
      <c r="V172" s="27"/>
      <c r="W172" s="23" t="s">
        <v>907</v>
      </c>
      <c r="X172" s="23" t="s">
        <v>908</v>
      </c>
      <c r="Y172" s="23" t="s">
        <v>909</v>
      </c>
      <c r="Z172" s="22" t="s">
        <v>889</v>
      </c>
      <c r="AA172" s="22"/>
      <c r="AB172" s="23">
        <f>_xlfn.XLOOKUP(E172,nomen!A:A,nomen!C:C,0)</f>
        <v>49</v>
      </c>
      <c r="AC172" s="23"/>
      <c r="AD172" s="27"/>
      <c r="AE172" s="27"/>
      <c r="AF172" s="27" t="s">
        <v>179</v>
      </c>
      <c r="AG172" s="30">
        <v>4.7</v>
      </c>
      <c r="AH172" s="24"/>
      <c r="AI172" s="21"/>
    </row>
    <row r="173" spans="1:35" x14ac:dyDescent="0.3">
      <c r="A173" s="22">
        <v>161</v>
      </c>
      <c r="B173" s="23">
        <v>4673746972700</v>
      </c>
      <c r="C173" s="26" t="s">
        <v>631</v>
      </c>
      <c r="D173" s="22" t="s">
        <v>632</v>
      </c>
      <c r="E173" s="22" t="s">
        <v>632</v>
      </c>
      <c r="F173" s="27" t="s">
        <v>1944</v>
      </c>
      <c r="G173" s="27"/>
      <c r="H173" s="27" t="s">
        <v>631</v>
      </c>
      <c r="I173" s="24">
        <v>700.81967213114751</v>
      </c>
      <c r="J173" s="28">
        <v>0.22</v>
      </c>
      <c r="K173" s="23">
        <v>855</v>
      </c>
      <c r="L173" s="23">
        <v>855</v>
      </c>
      <c r="M173" s="29" t="s">
        <v>309</v>
      </c>
      <c r="N173" s="23" t="s">
        <v>992</v>
      </c>
      <c r="O173" s="29" t="s">
        <v>309</v>
      </c>
      <c r="P173" s="29"/>
      <c r="Q173" s="29"/>
      <c r="R173" s="22"/>
      <c r="S173" s="23">
        <v>1</v>
      </c>
      <c r="T173" s="22"/>
      <c r="U173" s="22"/>
      <c r="V173" s="27"/>
      <c r="W173" s="23">
        <v>100</v>
      </c>
      <c r="X173" s="23">
        <v>100</v>
      </c>
      <c r="Y173" s="23">
        <v>50</v>
      </c>
      <c r="Z173" s="22" t="s">
        <v>889</v>
      </c>
      <c r="AA173" s="22"/>
      <c r="AB173" s="23">
        <f>_xlfn.XLOOKUP(E173,nomen!A:A,nomen!C:C,0)</f>
        <v>278</v>
      </c>
      <c r="AC173" s="23"/>
      <c r="AD173" s="27"/>
      <c r="AE173" s="27"/>
      <c r="AF173" s="27" t="s">
        <v>179</v>
      </c>
      <c r="AG173" s="30">
        <v>0.3</v>
      </c>
      <c r="AH173" s="24"/>
      <c r="AI173" s="21"/>
    </row>
    <row r="174" spans="1:35" x14ac:dyDescent="0.3">
      <c r="A174" s="22">
        <v>162</v>
      </c>
      <c r="B174" s="23">
        <v>4652245476322</v>
      </c>
      <c r="C174" s="26" t="s">
        <v>633</v>
      </c>
      <c r="D174" s="22" t="s">
        <v>634</v>
      </c>
      <c r="E174" s="22" t="s">
        <v>634</v>
      </c>
      <c r="F174" s="27" t="s">
        <v>1944</v>
      </c>
      <c r="G174" s="27"/>
      <c r="H174" s="27" t="s">
        <v>633</v>
      </c>
      <c r="I174" s="24">
        <v>766.39344262295083</v>
      </c>
      <c r="J174" s="28">
        <v>0.22</v>
      </c>
      <c r="K174" s="23">
        <v>935</v>
      </c>
      <c r="L174" s="23">
        <v>935</v>
      </c>
      <c r="M174" s="29" t="s">
        <v>309</v>
      </c>
      <c r="N174" s="23" t="s">
        <v>992</v>
      </c>
      <c r="O174" s="29" t="s">
        <v>309</v>
      </c>
      <c r="P174" s="29"/>
      <c r="Q174" s="29"/>
      <c r="R174" s="22"/>
      <c r="S174" s="23">
        <v>1</v>
      </c>
      <c r="T174" s="22"/>
      <c r="U174" s="22"/>
      <c r="V174" s="27"/>
      <c r="W174" s="23" t="s">
        <v>907</v>
      </c>
      <c r="X174" s="23" t="s">
        <v>908</v>
      </c>
      <c r="Y174" s="23" t="s">
        <v>909</v>
      </c>
      <c r="Z174" s="22" t="s">
        <v>889</v>
      </c>
      <c r="AA174" s="22"/>
      <c r="AB174" s="23">
        <f>_xlfn.XLOOKUP(E174,nomen!A:A,nomen!C:C,0)</f>
        <v>79</v>
      </c>
      <c r="AC174" s="23"/>
      <c r="AD174" s="27"/>
      <c r="AE174" s="27"/>
      <c r="AF174" s="27" t="s">
        <v>179</v>
      </c>
      <c r="AG174" s="30">
        <v>6</v>
      </c>
      <c r="AH174" s="24"/>
      <c r="AI174" s="21"/>
    </row>
    <row r="175" spans="1:35" x14ac:dyDescent="0.3">
      <c r="A175" s="22">
        <v>163</v>
      </c>
      <c r="B175" s="23">
        <v>4673746973158</v>
      </c>
      <c r="C175" s="26" t="s">
        <v>635</v>
      </c>
      <c r="D175" s="22" t="s">
        <v>636</v>
      </c>
      <c r="E175" s="22" t="s">
        <v>636</v>
      </c>
      <c r="F175" s="27" t="s">
        <v>1944</v>
      </c>
      <c r="G175" s="27"/>
      <c r="H175" s="27" t="s">
        <v>635</v>
      </c>
      <c r="I175" s="24">
        <v>351.63934426229508</v>
      </c>
      <c r="J175" s="28">
        <v>0.22</v>
      </c>
      <c r="K175" s="23">
        <v>429</v>
      </c>
      <c r="L175" s="23">
        <v>429</v>
      </c>
      <c r="M175" s="29" t="s">
        <v>309</v>
      </c>
      <c r="N175" s="23" t="s">
        <v>902</v>
      </c>
      <c r="O175" s="29" t="s">
        <v>309</v>
      </c>
      <c r="P175" s="29"/>
      <c r="Q175" s="29"/>
      <c r="R175" s="22"/>
      <c r="S175" s="23">
        <v>1</v>
      </c>
      <c r="T175" s="22"/>
      <c r="U175" s="22"/>
      <c r="V175" s="27"/>
      <c r="W175" s="23" t="s">
        <v>893</v>
      </c>
      <c r="X175" s="23">
        <v>80</v>
      </c>
      <c r="Y175" s="23">
        <v>80</v>
      </c>
      <c r="Z175" s="22" t="s">
        <v>889</v>
      </c>
      <c r="AA175" s="22"/>
      <c r="AB175" s="23">
        <f>_xlfn.XLOOKUP(E175,nomen!A:A,nomen!C:C,0)</f>
        <v>0</v>
      </c>
      <c r="AC175" s="23"/>
      <c r="AD175" s="27"/>
      <c r="AE175" s="27"/>
      <c r="AF175" s="27" t="s">
        <v>179</v>
      </c>
      <c r="AG175" s="30">
        <v>0.3</v>
      </c>
      <c r="AH175" s="24"/>
      <c r="AI175" s="21"/>
    </row>
    <row r="176" spans="1:35" x14ac:dyDescent="0.3">
      <c r="A176" s="22">
        <v>164</v>
      </c>
      <c r="B176" s="23">
        <v>4673746970164</v>
      </c>
      <c r="C176" s="26" t="s">
        <v>637</v>
      </c>
      <c r="D176" s="22" t="s">
        <v>638</v>
      </c>
      <c r="E176" s="22" t="s">
        <v>638</v>
      </c>
      <c r="F176" s="27" t="s">
        <v>1944</v>
      </c>
      <c r="G176" s="27"/>
      <c r="H176" s="27" t="s">
        <v>637</v>
      </c>
      <c r="I176" s="24">
        <v>304.09836065573774</v>
      </c>
      <c r="J176" s="28">
        <v>0.22</v>
      </c>
      <c r="K176" s="23">
        <v>371</v>
      </c>
      <c r="L176" s="23">
        <v>371</v>
      </c>
      <c r="M176" s="29" t="s">
        <v>309</v>
      </c>
      <c r="N176" s="23" t="s">
        <v>902</v>
      </c>
      <c r="O176" s="29" t="s">
        <v>309</v>
      </c>
      <c r="P176" s="29"/>
      <c r="Q176" s="29"/>
      <c r="R176" s="22"/>
      <c r="S176" s="23">
        <v>1</v>
      </c>
      <c r="T176" s="22"/>
      <c r="U176" s="22"/>
      <c r="V176" s="27"/>
      <c r="W176" s="23" t="s">
        <v>917</v>
      </c>
      <c r="X176" s="23" t="s">
        <v>917</v>
      </c>
      <c r="Y176" s="23" t="s">
        <v>918</v>
      </c>
      <c r="Z176" s="22" t="s">
        <v>889</v>
      </c>
      <c r="AA176" s="22"/>
      <c r="AB176" s="23">
        <f>_xlfn.XLOOKUP(E176,nomen!A:A,nomen!C:C,0)</f>
        <v>0</v>
      </c>
      <c r="AC176" s="23"/>
      <c r="AD176" s="27"/>
      <c r="AE176" s="27"/>
      <c r="AF176" s="27" t="s">
        <v>179</v>
      </c>
      <c r="AG176" s="30">
        <v>0.2</v>
      </c>
      <c r="AH176" s="24"/>
      <c r="AI176" s="21"/>
    </row>
    <row r="177" spans="1:35" x14ac:dyDescent="0.3">
      <c r="A177" s="22">
        <v>165</v>
      </c>
      <c r="B177" s="23">
        <v>4673746971819</v>
      </c>
      <c r="C177" s="26" t="s">
        <v>639</v>
      </c>
      <c r="D177" s="22" t="s">
        <v>640</v>
      </c>
      <c r="E177" s="22" t="s">
        <v>640</v>
      </c>
      <c r="F177" s="27" t="s">
        <v>1944</v>
      </c>
      <c r="G177" s="27"/>
      <c r="H177" s="27" t="s">
        <v>639</v>
      </c>
      <c r="I177" s="24">
        <v>406.55737704918033</v>
      </c>
      <c r="J177" s="28">
        <v>0.22</v>
      </c>
      <c r="K177" s="23">
        <v>496</v>
      </c>
      <c r="L177" s="23">
        <v>496</v>
      </c>
      <c r="M177" s="29" t="s">
        <v>309</v>
      </c>
      <c r="N177" s="23" t="s">
        <v>959</v>
      </c>
      <c r="O177" s="29" t="s">
        <v>309</v>
      </c>
      <c r="P177" s="29"/>
      <c r="Q177" s="29"/>
      <c r="R177" s="22"/>
      <c r="S177" s="23">
        <v>1</v>
      </c>
      <c r="T177" s="22"/>
      <c r="U177" s="22"/>
      <c r="V177" s="27"/>
      <c r="W177" s="23">
        <v>100</v>
      </c>
      <c r="X177" s="23">
        <v>100</v>
      </c>
      <c r="Y177" s="23">
        <v>50</v>
      </c>
      <c r="Z177" s="22" t="s">
        <v>889</v>
      </c>
      <c r="AA177" s="22"/>
      <c r="AB177" s="23">
        <f>_xlfn.XLOOKUP(E177,nomen!A:A,nomen!C:C,0)</f>
        <v>0</v>
      </c>
      <c r="AC177" s="23"/>
      <c r="AD177" s="27"/>
      <c r="AE177" s="27"/>
      <c r="AF177" s="27" t="s">
        <v>179</v>
      </c>
      <c r="AG177" s="30">
        <v>0.1</v>
      </c>
      <c r="AH177" s="24"/>
      <c r="AI177" s="21"/>
    </row>
    <row r="178" spans="1:35" x14ac:dyDescent="0.3">
      <c r="A178" s="22">
        <v>166</v>
      </c>
      <c r="B178" s="23">
        <v>2037427398807</v>
      </c>
      <c r="C178" s="26" t="s">
        <v>641</v>
      </c>
      <c r="D178" s="22" t="s">
        <v>642</v>
      </c>
      <c r="E178" s="22" t="s">
        <v>642</v>
      </c>
      <c r="F178" s="27" t="s">
        <v>1944</v>
      </c>
      <c r="G178" s="27"/>
      <c r="H178" s="27" t="s">
        <v>641</v>
      </c>
      <c r="I178" s="24">
        <v>1306.5573770491803</v>
      </c>
      <c r="J178" s="28">
        <v>0.22</v>
      </c>
      <c r="K178" s="23">
        <v>1594</v>
      </c>
      <c r="L178" s="23">
        <v>1594</v>
      </c>
      <c r="M178" s="29" t="s">
        <v>309</v>
      </c>
      <c r="N178" s="23" t="s">
        <v>951</v>
      </c>
      <c r="O178" s="29" t="s">
        <v>309</v>
      </c>
      <c r="P178" s="29"/>
      <c r="Q178" s="29"/>
      <c r="R178" s="22"/>
      <c r="S178" s="23">
        <v>1</v>
      </c>
      <c r="T178" s="22"/>
      <c r="U178" s="22"/>
      <c r="V178" s="27"/>
      <c r="W178" s="23" t="s">
        <v>897</v>
      </c>
      <c r="X178" s="23" t="s">
        <v>897</v>
      </c>
      <c r="Y178" s="23" t="s">
        <v>898</v>
      </c>
      <c r="Z178" s="22" t="s">
        <v>889</v>
      </c>
      <c r="AA178" s="22"/>
      <c r="AB178" s="23">
        <f>_xlfn.XLOOKUP(E178,nomen!A:A,nomen!C:C,0)</f>
        <v>40</v>
      </c>
      <c r="AC178" s="23"/>
      <c r="AD178" s="27"/>
      <c r="AE178" s="27"/>
      <c r="AF178" s="27" t="s">
        <v>179</v>
      </c>
      <c r="AG178" s="30">
        <v>8</v>
      </c>
      <c r="AH178" s="24"/>
      <c r="AI178" s="21"/>
    </row>
    <row r="179" spans="1:35" ht="27.6" x14ac:dyDescent="0.3">
      <c r="A179" s="22">
        <v>167</v>
      </c>
      <c r="B179" s="23">
        <v>4673746972953</v>
      </c>
      <c r="C179" s="26" t="s">
        <v>643</v>
      </c>
      <c r="D179" s="22" t="s">
        <v>644</v>
      </c>
      <c r="E179" s="22" t="s">
        <v>644</v>
      </c>
      <c r="F179" s="27" t="s">
        <v>1944</v>
      </c>
      <c r="G179" s="27"/>
      <c r="H179" s="27" t="s">
        <v>643</v>
      </c>
      <c r="I179" s="24">
        <v>429.50819672131149</v>
      </c>
      <c r="J179" s="28">
        <v>0.22</v>
      </c>
      <c r="K179" s="23">
        <v>524</v>
      </c>
      <c r="L179" s="23">
        <v>524</v>
      </c>
      <c r="M179" s="29" t="s">
        <v>309</v>
      </c>
      <c r="N179" s="23" t="s">
        <v>959</v>
      </c>
      <c r="O179" s="29" t="s">
        <v>309</v>
      </c>
      <c r="P179" s="29"/>
      <c r="Q179" s="29"/>
      <c r="R179" s="22"/>
      <c r="S179" s="23">
        <v>1</v>
      </c>
      <c r="T179" s="22"/>
      <c r="U179" s="22"/>
      <c r="V179" s="27"/>
      <c r="W179" s="23">
        <v>100</v>
      </c>
      <c r="X179" s="23">
        <v>100</v>
      </c>
      <c r="Y179" s="23">
        <v>50</v>
      </c>
      <c r="Z179" s="22" t="s">
        <v>889</v>
      </c>
      <c r="AA179" s="22"/>
      <c r="AB179" s="23">
        <f>_xlfn.XLOOKUP(E179,nomen!A:A,nomen!C:C,0)</f>
        <v>405</v>
      </c>
      <c r="AC179" s="23"/>
      <c r="AD179" s="27"/>
      <c r="AE179" s="27"/>
      <c r="AF179" s="27" t="s">
        <v>179</v>
      </c>
      <c r="AG179" s="30">
        <v>0.6</v>
      </c>
      <c r="AH179" s="24"/>
      <c r="AI179" s="21"/>
    </row>
    <row r="180" spans="1:35" x14ac:dyDescent="0.3">
      <c r="A180" s="22">
        <v>168</v>
      </c>
      <c r="B180" s="23">
        <v>4673746972540</v>
      </c>
      <c r="C180" s="26" t="s">
        <v>645</v>
      </c>
      <c r="D180" s="22" t="s">
        <v>646</v>
      </c>
      <c r="E180" s="22" t="s">
        <v>646</v>
      </c>
      <c r="F180" s="27" t="s">
        <v>1944</v>
      </c>
      <c r="G180" s="27"/>
      <c r="H180" s="27" t="s">
        <v>645</v>
      </c>
      <c r="I180" s="24">
        <v>406.55737704918033</v>
      </c>
      <c r="J180" s="28">
        <v>0.22</v>
      </c>
      <c r="K180" s="23">
        <v>496</v>
      </c>
      <c r="L180" s="23">
        <v>496</v>
      </c>
      <c r="M180" s="29" t="s">
        <v>309</v>
      </c>
      <c r="N180" s="23" t="s">
        <v>959</v>
      </c>
      <c r="O180" s="29" t="s">
        <v>309</v>
      </c>
      <c r="P180" s="29"/>
      <c r="Q180" s="29"/>
      <c r="R180" s="22"/>
      <c r="S180" s="23">
        <v>1</v>
      </c>
      <c r="T180" s="22"/>
      <c r="U180" s="22"/>
      <c r="V180" s="27"/>
      <c r="W180" s="23">
        <v>100</v>
      </c>
      <c r="X180" s="23">
        <v>100</v>
      </c>
      <c r="Y180" s="23">
        <v>50</v>
      </c>
      <c r="Z180" s="22" t="s">
        <v>889</v>
      </c>
      <c r="AA180" s="22"/>
      <c r="AB180" s="23">
        <f>_xlfn.XLOOKUP(E180,nomen!A:A,nomen!C:C,0)</f>
        <v>0</v>
      </c>
      <c r="AC180" s="23"/>
      <c r="AD180" s="27"/>
      <c r="AE180" s="27"/>
      <c r="AF180" s="27" t="s">
        <v>179</v>
      </c>
      <c r="AG180" s="30">
        <v>0.1</v>
      </c>
      <c r="AH180" s="24"/>
      <c r="AI180" s="21"/>
    </row>
    <row r="181" spans="1:35" x14ac:dyDescent="0.3">
      <c r="A181" s="22">
        <v>169</v>
      </c>
      <c r="B181" s="23">
        <v>2000649176249</v>
      </c>
      <c r="C181" s="26" t="s">
        <v>647</v>
      </c>
      <c r="D181" s="22" t="s">
        <v>648</v>
      </c>
      <c r="E181" s="22" t="s">
        <v>648</v>
      </c>
      <c r="F181" s="27" t="s">
        <v>1944</v>
      </c>
      <c r="G181" s="27"/>
      <c r="H181" s="27" t="s">
        <v>647</v>
      </c>
      <c r="I181" s="24">
        <v>1863.9344262295083</v>
      </c>
      <c r="J181" s="28">
        <v>0.22</v>
      </c>
      <c r="K181" s="23">
        <v>2274</v>
      </c>
      <c r="L181" s="23">
        <v>2274</v>
      </c>
      <c r="M181" s="29" t="s">
        <v>309</v>
      </c>
      <c r="N181" s="23">
        <v>3630</v>
      </c>
      <c r="O181" s="29" t="s">
        <v>309</v>
      </c>
      <c r="P181" s="29"/>
      <c r="Q181" s="29"/>
      <c r="R181" s="22"/>
      <c r="S181" s="23">
        <v>1</v>
      </c>
      <c r="T181" s="22"/>
      <c r="U181" s="22"/>
      <c r="V181" s="27"/>
      <c r="W181" s="23">
        <v>40</v>
      </c>
      <c r="X181" s="23">
        <v>40</v>
      </c>
      <c r="Y181" s="23">
        <v>100</v>
      </c>
      <c r="Z181" s="22" t="s">
        <v>889</v>
      </c>
      <c r="AA181" s="22"/>
      <c r="AB181" s="23">
        <f>_xlfn.XLOOKUP(E181,nomen!A:A,nomen!C:C,0)</f>
        <v>3</v>
      </c>
      <c r="AC181" s="23"/>
      <c r="AD181" s="27"/>
      <c r="AE181" s="27"/>
      <c r="AF181" s="27" t="s">
        <v>179</v>
      </c>
      <c r="AG181" s="30">
        <v>0.11600000000000001</v>
      </c>
      <c r="AH181" s="24"/>
      <c r="AI181" s="21"/>
    </row>
    <row r="182" spans="1:35" x14ac:dyDescent="0.3">
      <c r="A182" s="22">
        <v>170</v>
      </c>
      <c r="B182" s="23">
        <v>4673746972564</v>
      </c>
      <c r="C182" s="26" t="s">
        <v>649</v>
      </c>
      <c r="D182" s="22" t="s">
        <v>650</v>
      </c>
      <c r="E182" s="22" t="s">
        <v>650</v>
      </c>
      <c r="F182" s="27" t="s">
        <v>1944</v>
      </c>
      <c r="G182" s="27"/>
      <c r="H182" s="27" t="s">
        <v>649</v>
      </c>
      <c r="I182" s="24">
        <v>406.55737704918033</v>
      </c>
      <c r="J182" s="28">
        <v>0.22</v>
      </c>
      <c r="K182" s="23">
        <v>496</v>
      </c>
      <c r="L182" s="23">
        <v>496</v>
      </c>
      <c r="M182" s="29" t="s">
        <v>309</v>
      </c>
      <c r="N182" s="23" t="s">
        <v>959</v>
      </c>
      <c r="O182" s="29" t="s">
        <v>309</v>
      </c>
      <c r="P182" s="29"/>
      <c r="Q182" s="29"/>
      <c r="R182" s="22"/>
      <c r="S182" s="23">
        <v>1</v>
      </c>
      <c r="T182" s="22"/>
      <c r="U182" s="22"/>
      <c r="V182" s="27"/>
      <c r="W182" s="23">
        <v>100</v>
      </c>
      <c r="X182" s="23">
        <v>100</v>
      </c>
      <c r="Y182" s="23">
        <v>50</v>
      </c>
      <c r="Z182" s="22" t="s">
        <v>889</v>
      </c>
      <c r="AA182" s="22"/>
      <c r="AB182" s="23">
        <f>_xlfn.XLOOKUP(E182,nomen!A:A,nomen!C:C,0)</f>
        <v>0</v>
      </c>
      <c r="AC182" s="23"/>
      <c r="AD182" s="27"/>
      <c r="AE182" s="27"/>
      <c r="AF182" s="27" t="s">
        <v>179</v>
      </c>
      <c r="AG182" s="30">
        <v>0.1</v>
      </c>
      <c r="AH182" s="24"/>
      <c r="AI182" s="21"/>
    </row>
    <row r="183" spans="1:35" x14ac:dyDescent="0.3">
      <c r="A183" s="22">
        <v>171</v>
      </c>
      <c r="B183" s="23">
        <v>4673746971802</v>
      </c>
      <c r="C183" s="26" t="s">
        <v>651</v>
      </c>
      <c r="D183" s="22" t="s">
        <v>652</v>
      </c>
      <c r="E183" s="22" t="s">
        <v>652</v>
      </c>
      <c r="F183" s="27" t="s">
        <v>1944</v>
      </c>
      <c r="G183" s="27"/>
      <c r="H183" s="27" t="s">
        <v>651</v>
      </c>
      <c r="I183" s="24">
        <v>406.55737704918033</v>
      </c>
      <c r="J183" s="28">
        <v>0.22</v>
      </c>
      <c r="K183" s="23">
        <v>496</v>
      </c>
      <c r="L183" s="23">
        <v>496</v>
      </c>
      <c r="M183" s="29" t="s">
        <v>309</v>
      </c>
      <c r="N183" s="23" t="s">
        <v>959</v>
      </c>
      <c r="O183" s="29" t="s">
        <v>309</v>
      </c>
      <c r="P183" s="29"/>
      <c r="Q183" s="29"/>
      <c r="R183" s="22"/>
      <c r="S183" s="23">
        <v>1</v>
      </c>
      <c r="T183" s="22"/>
      <c r="U183" s="22"/>
      <c r="V183" s="27"/>
      <c r="W183" s="23">
        <v>100</v>
      </c>
      <c r="X183" s="23">
        <v>100</v>
      </c>
      <c r="Y183" s="23">
        <v>50</v>
      </c>
      <c r="Z183" s="22" t="s">
        <v>889</v>
      </c>
      <c r="AA183" s="22"/>
      <c r="AB183" s="23">
        <f>_xlfn.XLOOKUP(E183,nomen!A:A,nomen!C:C,0)</f>
        <v>0</v>
      </c>
      <c r="AC183" s="23"/>
      <c r="AD183" s="27"/>
      <c r="AE183" s="27"/>
      <c r="AF183" s="27" t="s">
        <v>179</v>
      </c>
      <c r="AG183" s="30">
        <v>0.1</v>
      </c>
      <c r="AH183" s="24"/>
      <c r="AI183" s="21"/>
    </row>
    <row r="184" spans="1:35" x14ac:dyDescent="0.3">
      <c r="A184" s="22">
        <v>172</v>
      </c>
      <c r="B184" s="23">
        <v>4673746972748</v>
      </c>
      <c r="C184" s="26" t="s">
        <v>653</v>
      </c>
      <c r="D184" s="22" t="s">
        <v>654</v>
      </c>
      <c r="E184" s="22" t="s">
        <v>654</v>
      </c>
      <c r="F184" s="27" t="s">
        <v>1944</v>
      </c>
      <c r="G184" s="27"/>
      <c r="H184" s="27" t="s">
        <v>653</v>
      </c>
      <c r="I184" s="24">
        <v>320.49180327868851</v>
      </c>
      <c r="J184" s="28">
        <v>0.22</v>
      </c>
      <c r="K184" s="23">
        <v>391</v>
      </c>
      <c r="L184" s="23">
        <v>391</v>
      </c>
      <c r="M184" s="29" t="s">
        <v>309</v>
      </c>
      <c r="N184" s="23" t="s">
        <v>902</v>
      </c>
      <c r="O184" s="29" t="s">
        <v>309</v>
      </c>
      <c r="P184" s="29"/>
      <c r="Q184" s="29"/>
      <c r="R184" s="22"/>
      <c r="S184" s="23">
        <v>1</v>
      </c>
      <c r="T184" s="22"/>
      <c r="U184" s="22"/>
      <c r="V184" s="27"/>
      <c r="W184" s="23">
        <v>100</v>
      </c>
      <c r="X184" s="23">
        <v>100</v>
      </c>
      <c r="Y184" s="23">
        <v>50</v>
      </c>
      <c r="Z184" s="22" t="s">
        <v>889</v>
      </c>
      <c r="AA184" s="22"/>
      <c r="AB184" s="23">
        <f>_xlfn.XLOOKUP(E184,nomen!A:A,nomen!C:C,0)</f>
        <v>319</v>
      </c>
      <c r="AC184" s="23"/>
      <c r="AD184" s="27"/>
      <c r="AE184" s="27"/>
      <c r="AF184" s="27" t="s">
        <v>179</v>
      </c>
      <c r="AG184" s="30">
        <v>0.1</v>
      </c>
      <c r="AH184" s="24"/>
      <c r="AI184" s="21"/>
    </row>
    <row r="185" spans="1:35" x14ac:dyDescent="0.3">
      <c r="A185" s="22">
        <v>173</v>
      </c>
      <c r="B185" s="23">
        <v>4673746973097</v>
      </c>
      <c r="C185" s="26" t="s">
        <v>655</v>
      </c>
      <c r="D185" s="22" t="s">
        <v>656</v>
      </c>
      <c r="E185" s="22" t="s">
        <v>656</v>
      </c>
      <c r="F185" s="27" t="s">
        <v>1944</v>
      </c>
      <c r="G185" s="27"/>
      <c r="H185" s="27" t="s">
        <v>655</v>
      </c>
      <c r="I185" s="24">
        <v>58129.508196721312</v>
      </c>
      <c r="J185" s="28">
        <v>0.22</v>
      </c>
      <c r="K185" s="23">
        <v>70918</v>
      </c>
      <c r="L185" s="23">
        <v>70918</v>
      </c>
      <c r="M185" s="29" t="s">
        <v>309</v>
      </c>
      <c r="N185" s="23" t="s">
        <v>993</v>
      </c>
      <c r="O185" s="29" t="s">
        <v>309</v>
      </c>
      <c r="P185" s="29"/>
      <c r="Q185" s="29"/>
      <c r="R185" s="22"/>
      <c r="S185" s="23">
        <v>1</v>
      </c>
      <c r="T185" s="22"/>
      <c r="U185" s="22"/>
      <c r="V185" s="27"/>
      <c r="W185" s="23">
        <v>100</v>
      </c>
      <c r="X185" s="23">
        <v>100</v>
      </c>
      <c r="Y185" s="23">
        <v>50</v>
      </c>
      <c r="Z185" s="22" t="s">
        <v>889</v>
      </c>
      <c r="AA185" s="22"/>
      <c r="AB185" s="23">
        <f>_xlfn.XLOOKUP(E185,nomen!A:A,nomen!C:C,0)</f>
        <v>45</v>
      </c>
      <c r="AC185" s="23"/>
      <c r="AD185" s="27"/>
      <c r="AE185" s="27"/>
      <c r="AF185" s="27" t="s">
        <v>179</v>
      </c>
      <c r="AG185" s="30">
        <v>12</v>
      </c>
      <c r="AH185" s="24"/>
      <c r="AI185" s="21"/>
    </row>
    <row r="186" spans="1:35" x14ac:dyDescent="0.3">
      <c r="A186" s="22">
        <v>174</v>
      </c>
      <c r="B186" s="23">
        <v>4673746973318</v>
      </c>
      <c r="C186" s="26" t="s">
        <v>657</v>
      </c>
      <c r="D186" s="22" t="s">
        <v>658</v>
      </c>
      <c r="E186" s="22" t="s">
        <v>658</v>
      </c>
      <c r="F186" s="27" t="s">
        <v>1944</v>
      </c>
      <c r="G186" s="27"/>
      <c r="H186" s="27" t="s">
        <v>657</v>
      </c>
      <c r="I186" s="24">
        <v>766.39344262295083</v>
      </c>
      <c r="J186" s="28">
        <v>0.22</v>
      </c>
      <c r="K186" s="23">
        <v>935</v>
      </c>
      <c r="L186" s="23">
        <v>935</v>
      </c>
      <c r="M186" s="29" t="s">
        <v>309</v>
      </c>
      <c r="N186" s="23" t="s">
        <v>953</v>
      </c>
      <c r="O186" s="29" t="s">
        <v>309</v>
      </c>
      <c r="P186" s="29"/>
      <c r="Q186" s="29"/>
      <c r="R186" s="22"/>
      <c r="S186" s="23">
        <v>1</v>
      </c>
      <c r="T186" s="22"/>
      <c r="U186" s="22"/>
      <c r="V186" s="27"/>
      <c r="W186" s="23" t="s">
        <v>907</v>
      </c>
      <c r="X186" s="23" t="s">
        <v>908</v>
      </c>
      <c r="Y186" s="23" t="s">
        <v>909</v>
      </c>
      <c r="Z186" s="22" t="s">
        <v>889</v>
      </c>
      <c r="AA186" s="22"/>
      <c r="AB186" s="23">
        <f>_xlfn.XLOOKUP(E186,nomen!A:A,nomen!C:C,0)</f>
        <v>76</v>
      </c>
      <c r="AC186" s="23"/>
      <c r="AD186" s="27"/>
      <c r="AE186" s="27"/>
      <c r="AF186" s="27" t="s">
        <v>179</v>
      </c>
      <c r="AG186" s="30">
        <v>5</v>
      </c>
      <c r="AH186" s="24"/>
      <c r="AI186" s="21"/>
    </row>
    <row r="187" spans="1:35" x14ac:dyDescent="0.3">
      <c r="A187" s="22">
        <v>175</v>
      </c>
      <c r="B187" s="23">
        <v>4673746972229</v>
      </c>
      <c r="C187" s="26" t="s">
        <v>659</v>
      </c>
      <c r="D187" s="22" t="s">
        <v>660</v>
      </c>
      <c r="E187" s="22" t="s">
        <v>660</v>
      </c>
      <c r="F187" s="27" t="s">
        <v>1944</v>
      </c>
      <c r="G187" s="27"/>
      <c r="H187" s="27" t="s">
        <v>659</v>
      </c>
      <c r="I187" s="24">
        <v>320.49180327868851</v>
      </c>
      <c r="J187" s="28">
        <v>0.22</v>
      </c>
      <c r="K187" s="23">
        <v>391</v>
      </c>
      <c r="L187" s="23">
        <v>391</v>
      </c>
      <c r="M187" s="29" t="s">
        <v>309</v>
      </c>
      <c r="N187" s="23" t="s">
        <v>902</v>
      </c>
      <c r="O187" s="29" t="s">
        <v>309</v>
      </c>
      <c r="P187" s="29"/>
      <c r="Q187" s="29"/>
      <c r="R187" s="22"/>
      <c r="S187" s="23">
        <v>1</v>
      </c>
      <c r="T187" s="22"/>
      <c r="U187" s="22"/>
      <c r="V187" s="27"/>
      <c r="W187" s="23">
        <v>100</v>
      </c>
      <c r="X187" s="23">
        <v>100</v>
      </c>
      <c r="Y187" s="23">
        <v>50</v>
      </c>
      <c r="Z187" s="22" t="s">
        <v>889</v>
      </c>
      <c r="AA187" s="22"/>
      <c r="AB187" s="23">
        <f>_xlfn.XLOOKUP(E187,nomen!A:A,nomen!C:C,0)</f>
        <v>333</v>
      </c>
      <c r="AC187" s="23"/>
      <c r="AD187" s="27"/>
      <c r="AE187" s="27"/>
      <c r="AF187" s="27" t="s">
        <v>179</v>
      </c>
      <c r="AG187" s="30">
        <v>0.3</v>
      </c>
      <c r="AH187" s="24"/>
      <c r="AI187" s="21"/>
    </row>
    <row r="188" spans="1:35" x14ac:dyDescent="0.3">
      <c r="A188" s="22">
        <v>176</v>
      </c>
      <c r="B188" s="23">
        <v>2037427399033</v>
      </c>
      <c r="C188" s="26" t="s">
        <v>661</v>
      </c>
      <c r="D188" s="22" t="s">
        <v>662</v>
      </c>
      <c r="E188" s="22" t="s">
        <v>662</v>
      </c>
      <c r="F188" s="27" t="s">
        <v>1944</v>
      </c>
      <c r="G188" s="27"/>
      <c r="H188" s="27" t="s">
        <v>661</v>
      </c>
      <c r="I188" s="24">
        <v>233.6065573770492</v>
      </c>
      <c r="J188" s="28">
        <v>0.22</v>
      </c>
      <c r="K188" s="23">
        <v>285</v>
      </c>
      <c r="L188" s="23">
        <v>285</v>
      </c>
      <c r="M188" s="29" t="s">
        <v>309</v>
      </c>
      <c r="N188" s="23" t="s">
        <v>910</v>
      </c>
      <c r="O188" s="29" t="s">
        <v>309</v>
      </c>
      <c r="P188" s="29"/>
      <c r="Q188" s="29"/>
      <c r="R188" s="22"/>
      <c r="S188" s="23">
        <v>1</v>
      </c>
      <c r="T188" s="22"/>
      <c r="U188" s="22"/>
      <c r="V188" s="27"/>
      <c r="W188" s="23" t="s">
        <v>897</v>
      </c>
      <c r="X188" s="23" t="s">
        <v>897</v>
      </c>
      <c r="Y188" s="23" t="s">
        <v>903</v>
      </c>
      <c r="Z188" s="22" t="s">
        <v>889</v>
      </c>
      <c r="AA188" s="22"/>
      <c r="AB188" s="23">
        <f>_xlfn.XLOOKUP(E188,nomen!A:A,nomen!C:C,0)</f>
        <v>971</v>
      </c>
      <c r="AC188" s="23"/>
      <c r="AD188" s="27"/>
      <c r="AE188" s="27"/>
      <c r="AF188" s="27" t="s">
        <v>179</v>
      </c>
      <c r="AG188" s="30">
        <v>8</v>
      </c>
      <c r="AH188" s="24"/>
      <c r="AI188" s="21"/>
    </row>
    <row r="189" spans="1:35" ht="27.6" x14ac:dyDescent="0.3">
      <c r="A189" s="22">
        <v>177</v>
      </c>
      <c r="B189" s="23">
        <v>4673746972939</v>
      </c>
      <c r="C189" s="26" t="s">
        <v>663</v>
      </c>
      <c r="D189" s="22" t="s">
        <v>664</v>
      </c>
      <c r="E189" s="22" t="s">
        <v>664</v>
      </c>
      <c r="F189" s="27" t="s">
        <v>1944</v>
      </c>
      <c r="G189" s="27"/>
      <c r="H189" s="27" t="s">
        <v>663</v>
      </c>
      <c r="I189" s="24">
        <v>429.50819672131149</v>
      </c>
      <c r="J189" s="28">
        <v>0.22</v>
      </c>
      <c r="K189" s="23">
        <v>524</v>
      </c>
      <c r="L189" s="23">
        <v>524</v>
      </c>
      <c r="M189" s="29" t="s">
        <v>309</v>
      </c>
      <c r="N189" s="23" t="s">
        <v>959</v>
      </c>
      <c r="O189" s="29" t="s">
        <v>309</v>
      </c>
      <c r="P189" s="29"/>
      <c r="Q189" s="29"/>
      <c r="R189" s="22"/>
      <c r="S189" s="23">
        <v>1</v>
      </c>
      <c r="T189" s="22"/>
      <c r="U189" s="22"/>
      <c r="V189" s="27"/>
      <c r="W189" s="23">
        <v>100</v>
      </c>
      <c r="X189" s="23">
        <v>100</v>
      </c>
      <c r="Y189" s="23">
        <v>50</v>
      </c>
      <c r="Z189" s="22" t="s">
        <v>889</v>
      </c>
      <c r="AA189" s="22"/>
      <c r="AB189" s="23">
        <f>_xlfn.XLOOKUP(E189,nomen!A:A,nomen!C:C,0)</f>
        <v>0</v>
      </c>
      <c r="AC189" s="23"/>
      <c r="AD189" s="27"/>
      <c r="AE189" s="27"/>
      <c r="AF189" s="27" t="s">
        <v>179</v>
      </c>
      <c r="AG189" s="30">
        <v>0.5</v>
      </c>
      <c r="AH189" s="24"/>
      <c r="AI189" s="21"/>
    </row>
    <row r="190" spans="1:35" x14ac:dyDescent="0.3">
      <c r="A190" s="22">
        <v>178</v>
      </c>
      <c r="B190" s="23">
        <v>4652245476780</v>
      </c>
      <c r="C190" s="26" t="s">
        <v>665</v>
      </c>
      <c r="D190" s="22" t="s">
        <v>666</v>
      </c>
      <c r="E190" s="22" t="s">
        <v>666</v>
      </c>
      <c r="F190" s="27" t="s">
        <v>1944</v>
      </c>
      <c r="G190" s="27"/>
      <c r="H190" s="27" t="s">
        <v>665</v>
      </c>
      <c r="I190" s="24">
        <v>252.45901639344262</v>
      </c>
      <c r="J190" s="28">
        <v>0.22</v>
      </c>
      <c r="K190" s="23">
        <v>308</v>
      </c>
      <c r="L190" s="23">
        <v>308</v>
      </c>
      <c r="M190" s="29" t="s">
        <v>309</v>
      </c>
      <c r="N190" s="23" t="s">
        <v>932</v>
      </c>
      <c r="O190" s="29" t="s">
        <v>309</v>
      </c>
      <c r="P190" s="29"/>
      <c r="Q190" s="29"/>
      <c r="R190" s="22"/>
      <c r="S190" s="23">
        <v>1</v>
      </c>
      <c r="T190" s="22"/>
      <c r="U190" s="22"/>
      <c r="V190" s="27"/>
      <c r="W190" s="23" t="s">
        <v>897</v>
      </c>
      <c r="X190" s="23" t="s">
        <v>897</v>
      </c>
      <c r="Y190" s="23" t="s">
        <v>903</v>
      </c>
      <c r="Z190" s="22" t="s">
        <v>889</v>
      </c>
      <c r="AA190" s="22"/>
      <c r="AB190" s="23">
        <f>_xlfn.XLOOKUP(E190,nomen!A:A,nomen!C:C,0)</f>
        <v>170</v>
      </c>
      <c r="AC190" s="23"/>
      <c r="AD190" s="27"/>
      <c r="AE190" s="27"/>
      <c r="AF190" s="27" t="s">
        <v>179</v>
      </c>
      <c r="AG190" s="30">
        <v>0.8</v>
      </c>
      <c r="AH190" s="24"/>
      <c r="AI190" s="21"/>
    </row>
    <row r="191" spans="1:35" x14ac:dyDescent="0.3">
      <c r="A191" s="22">
        <v>179</v>
      </c>
      <c r="B191" s="23">
        <v>4673746971154</v>
      </c>
      <c r="C191" s="26" t="s">
        <v>667</v>
      </c>
      <c r="D191" s="22" t="s">
        <v>668</v>
      </c>
      <c r="E191" s="22" t="s">
        <v>668</v>
      </c>
      <c r="F191" s="27" t="s">
        <v>1944</v>
      </c>
      <c r="G191" s="27"/>
      <c r="H191" s="27" t="s">
        <v>667</v>
      </c>
      <c r="I191" s="24">
        <v>509.01639344262298</v>
      </c>
      <c r="J191" s="28">
        <v>0.22</v>
      </c>
      <c r="K191" s="23">
        <v>621</v>
      </c>
      <c r="L191" s="23">
        <v>621</v>
      </c>
      <c r="M191" s="29" t="s">
        <v>309</v>
      </c>
      <c r="N191" s="23" t="s">
        <v>944</v>
      </c>
      <c r="O191" s="29" t="s">
        <v>309</v>
      </c>
      <c r="P191" s="29"/>
      <c r="Q191" s="29"/>
      <c r="R191" s="22"/>
      <c r="S191" s="23">
        <v>1</v>
      </c>
      <c r="T191" s="22"/>
      <c r="U191" s="22"/>
      <c r="V191" s="27"/>
      <c r="W191" s="23" t="s">
        <v>907</v>
      </c>
      <c r="X191" s="23" t="s">
        <v>908</v>
      </c>
      <c r="Y191" s="23" t="s">
        <v>909</v>
      </c>
      <c r="Z191" s="22" t="s">
        <v>889</v>
      </c>
      <c r="AA191" s="22"/>
      <c r="AB191" s="23">
        <f>_xlfn.XLOOKUP(E191,nomen!A:A,nomen!C:C,0)</f>
        <v>34</v>
      </c>
      <c r="AC191" s="23"/>
      <c r="AD191" s="27"/>
      <c r="AE191" s="27"/>
      <c r="AF191" s="27" t="s">
        <v>179</v>
      </c>
      <c r="AG191" s="30">
        <v>5</v>
      </c>
      <c r="AH191" s="24"/>
      <c r="AI191" s="21"/>
    </row>
    <row r="192" spans="1:35" x14ac:dyDescent="0.3">
      <c r="A192" s="22">
        <v>180</v>
      </c>
      <c r="B192" s="23">
        <v>4673746972946</v>
      </c>
      <c r="C192" s="26" t="s">
        <v>669</v>
      </c>
      <c r="D192" s="22" t="s">
        <v>670</v>
      </c>
      <c r="E192" s="22" t="s">
        <v>670</v>
      </c>
      <c r="F192" s="27" t="s">
        <v>1944</v>
      </c>
      <c r="G192" s="27"/>
      <c r="H192" s="27" t="s">
        <v>669</v>
      </c>
      <c r="I192" s="24">
        <v>429.50819672131149</v>
      </c>
      <c r="J192" s="28">
        <v>0.22</v>
      </c>
      <c r="K192" s="23">
        <v>524</v>
      </c>
      <c r="L192" s="23">
        <v>524</v>
      </c>
      <c r="M192" s="29" t="s">
        <v>309</v>
      </c>
      <c r="N192" s="23" t="s">
        <v>959</v>
      </c>
      <c r="O192" s="29" t="s">
        <v>309</v>
      </c>
      <c r="P192" s="29"/>
      <c r="Q192" s="29"/>
      <c r="R192" s="22"/>
      <c r="S192" s="23">
        <v>1</v>
      </c>
      <c r="T192" s="22"/>
      <c r="U192" s="22"/>
      <c r="V192" s="27"/>
      <c r="W192" s="23">
        <v>100</v>
      </c>
      <c r="X192" s="23">
        <v>100</v>
      </c>
      <c r="Y192" s="23">
        <v>50</v>
      </c>
      <c r="Z192" s="22" t="s">
        <v>889</v>
      </c>
      <c r="AA192" s="22"/>
      <c r="AB192" s="23">
        <f>_xlfn.XLOOKUP(E192,nomen!A:A,nomen!C:C,0)</f>
        <v>320</v>
      </c>
      <c r="AC192" s="23"/>
      <c r="AD192" s="27"/>
      <c r="AE192" s="27"/>
      <c r="AF192" s="27" t="s">
        <v>179</v>
      </c>
      <c r="AG192" s="30">
        <v>0.5</v>
      </c>
      <c r="AH192" s="24"/>
      <c r="AI192" s="21"/>
    </row>
    <row r="193" spans="1:35" x14ac:dyDescent="0.3">
      <c r="A193" s="22">
        <v>181</v>
      </c>
      <c r="B193" s="23">
        <v>4673746971284</v>
      </c>
      <c r="C193" s="26" t="s">
        <v>671</v>
      </c>
      <c r="D193" s="22" t="s">
        <v>672</v>
      </c>
      <c r="E193" s="22" t="s">
        <v>672</v>
      </c>
      <c r="F193" s="27" t="s">
        <v>1944</v>
      </c>
      <c r="G193" s="27"/>
      <c r="H193" s="27" t="s">
        <v>671</v>
      </c>
      <c r="I193" s="24">
        <v>2207.377049180328</v>
      </c>
      <c r="J193" s="28">
        <v>0.22</v>
      </c>
      <c r="K193" s="23">
        <v>2693</v>
      </c>
      <c r="L193" s="23">
        <v>2693</v>
      </c>
      <c r="M193" s="29" t="s">
        <v>309</v>
      </c>
      <c r="N193" s="23" t="s">
        <v>963</v>
      </c>
      <c r="O193" s="29" t="s">
        <v>309</v>
      </c>
      <c r="P193" s="29"/>
      <c r="Q193" s="29"/>
      <c r="R193" s="22"/>
      <c r="S193" s="23">
        <v>1</v>
      </c>
      <c r="T193" s="22"/>
      <c r="U193" s="22"/>
      <c r="V193" s="27"/>
      <c r="W193" s="23" t="s">
        <v>917</v>
      </c>
      <c r="X193" s="23" t="s">
        <v>917</v>
      </c>
      <c r="Y193" s="23" t="s">
        <v>918</v>
      </c>
      <c r="Z193" s="22" t="s">
        <v>889</v>
      </c>
      <c r="AA193" s="22"/>
      <c r="AB193" s="23">
        <f>_xlfn.XLOOKUP(E193,nomen!A:A,nomen!C:C,0)</f>
        <v>26</v>
      </c>
      <c r="AC193" s="23"/>
      <c r="AD193" s="27"/>
      <c r="AE193" s="27"/>
      <c r="AF193" s="27" t="s">
        <v>179</v>
      </c>
      <c r="AG193" s="30">
        <v>0.7</v>
      </c>
      <c r="AH193" s="24"/>
      <c r="AI193" s="21"/>
    </row>
    <row r="194" spans="1:35" x14ac:dyDescent="0.3">
      <c r="A194" s="22">
        <v>182</v>
      </c>
      <c r="B194" s="23">
        <v>4673746972373</v>
      </c>
      <c r="C194" s="26" t="s">
        <v>673</v>
      </c>
      <c r="D194" s="22" t="s">
        <v>674</v>
      </c>
      <c r="E194" s="22" t="s">
        <v>674</v>
      </c>
      <c r="F194" s="27" t="s">
        <v>1944</v>
      </c>
      <c r="G194" s="27"/>
      <c r="H194" s="27" t="s">
        <v>673</v>
      </c>
      <c r="I194" s="24">
        <v>755.73770491803282</v>
      </c>
      <c r="J194" s="28">
        <v>0.22</v>
      </c>
      <c r="K194" s="23">
        <v>922</v>
      </c>
      <c r="L194" s="23">
        <v>922</v>
      </c>
      <c r="M194" s="29" t="s">
        <v>309</v>
      </c>
      <c r="N194" s="23" t="s">
        <v>968</v>
      </c>
      <c r="O194" s="29" t="s">
        <v>309</v>
      </c>
      <c r="P194" s="29"/>
      <c r="Q194" s="29"/>
      <c r="R194" s="22"/>
      <c r="S194" s="23">
        <v>1</v>
      </c>
      <c r="T194" s="22"/>
      <c r="U194" s="22"/>
      <c r="V194" s="27"/>
      <c r="W194" s="23">
        <v>100</v>
      </c>
      <c r="X194" s="23">
        <v>100</v>
      </c>
      <c r="Y194" s="23">
        <v>50</v>
      </c>
      <c r="Z194" s="22" t="s">
        <v>889</v>
      </c>
      <c r="AA194" s="22"/>
      <c r="AB194" s="23">
        <f>_xlfn.XLOOKUP(E194,nomen!A:A,nomen!C:C,0)</f>
        <v>307</v>
      </c>
      <c r="AC194" s="23"/>
      <c r="AD194" s="27"/>
      <c r="AE194" s="27"/>
      <c r="AF194" s="27" t="s">
        <v>179</v>
      </c>
      <c r="AG194" s="30">
        <v>0.3</v>
      </c>
      <c r="AH194" s="24"/>
      <c r="AI194" s="21"/>
    </row>
    <row r="195" spans="1:35" x14ac:dyDescent="0.3">
      <c r="A195" s="22">
        <v>183</v>
      </c>
      <c r="B195" s="23">
        <v>4673746972496</v>
      </c>
      <c r="C195" s="26" t="s">
        <v>675</v>
      </c>
      <c r="D195" s="22" t="s">
        <v>676</v>
      </c>
      <c r="E195" s="22" t="s">
        <v>676</v>
      </c>
      <c r="F195" s="27" t="s">
        <v>1944</v>
      </c>
      <c r="G195" s="27"/>
      <c r="H195" s="27" t="s">
        <v>675</v>
      </c>
      <c r="I195" s="24">
        <v>1024.5901639344263</v>
      </c>
      <c r="J195" s="28">
        <v>0.22</v>
      </c>
      <c r="K195" s="23">
        <v>1250</v>
      </c>
      <c r="L195" s="23">
        <v>1250</v>
      </c>
      <c r="M195" s="29" t="s">
        <v>309</v>
      </c>
      <c r="N195" s="23" t="s">
        <v>949</v>
      </c>
      <c r="O195" s="29" t="s">
        <v>309</v>
      </c>
      <c r="P195" s="29"/>
      <c r="Q195" s="29"/>
      <c r="R195" s="22"/>
      <c r="S195" s="23">
        <v>1</v>
      </c>
      <c r="T195" s="22"/>
      <c r="U195" s="22"/>
      <c r="V195" s="27"/>
      <c r="W195" s="23" t="s">
        <v>907</v>
      </c>
      <c r="X195" s="23" t="s">
        <v>908</v>
      </c>
      <c r="Y195" s="23" t="s">
        <v>909</v>
      </c>
      <c r="Z195" s="22" t="s">
        <v>889</v>
      </c>
      <c r="AA195" s="22"/>
      <c r="AB195" s="23">
        <f>_xlfn.XLOOKUP(E195,nomen!A:A,nomen!C:C,0)</f>
        <v>118</v>
      </c>
      <c r="AC195" s="23"/>
      <c r="AD195" s="27"/>
      <c r="AE195" s="27"/>
      <c r="AF195" s="27" t="s">
        <v>179</v>
      </c>
      <c r="AG195" s="30">
        <v>5</v>
      </c>
      <c r="AH195" s="24"/>
      <c r="AI195" s="21"/>
    </row>
    <row r="196" spans="1:35" x14ac:dyDescent="0.3">
      <c r="A196" s="22">
        <v>184</v>
      </c>
      <c r="B196" s="23">
        <v>4652245476834</v>
      </c>
      <c r="C196" s="26" t="s">
        <v>677</v>
      </c>
      <c r="D196" s="22" t="s">
        <v>678</v>
      </c>
      <c r="E196" s="22" t="s">
        <v>678</v>
      </c>
      <c r="F196" s="27" t="s">
        <v>1944</v>
      </c>
      <c r="G196" s="27"/>
      <c r="H196" s="27" t="s">
        <v>677</v>
      </c>
      <c r="I196" s="24">
        <v>181.14754098360658</v>
      </c>
      <c r="J196" s="28">
        <v>0.22</v>
      </c>
      <c r="K196" s="23">
        <v>221</v>
      </c>
      <c r="L196" s="23">
        <v>221</v>
      </c>
      <c r="M196" s="29" t="s">
        <v>309</v>
      </c>
      <c r="N196" s="23" t="s">
        <v>904</v>
      </c>
      <c r="O196" s="29" t="s">
        <v>309</v>
      </c>
      <c r="P196" s="29"/>
      <c r="Q196" s="29"/>
      <c r="R196" s="22"/>
      <c r="S196" s="23">
        <v>1</v>
      </c>
      <c r="T196" s="22"/>
      <c r="U196" s="22"/>
      <c r="V196" s="27"/>
      <c r="W196" s="23" t="s">
        <v>893</v>
      </c>
      <c r="X196" s="23">
        <v>80</v>
      </c>
      <c r="Y196" s="23">
        <v>80</v>
      </c>
      <c r="Z196" s="22" t="s">
        <v>889</v>
      </c>
      <c r="AA196" s="22"/>
      <c r="AB196" s="23">
        <f>_xlfn.XLOOKUP(E196,nomen!A:A,nomen!C:C,0)</f>
        <v>482</v>
      </c>
      <c r="AC196" s="23"/>
      <c r="AD196" s="27"/>
      <c r="AE196" s="27"/>
      <c r="AF196" s="27" t="s">
        <v>179</v>
      </c>
      <c r="AG196" s="30">
        <v>0.5</v>
      </c>
      <c r="AH196" s="24"/>
      <c r="AI196" s="21"/>
    </row>
    <row r="197" spans="1:35" x14ac:dyDescent="0.3">
      <c r="A197" s="22">
        <v>185</v>
      </c>
      <c r="B197" s="23">
        <v>2000649176256</v>
      </c>
      <c r="C197" s="26" t="s">
        <v>679</v>
      </c>
      <c r="D197" s="22" t="s">
        <v>680</v>
      </c>
      <c r="E197" s="22" t="s">
        <v>680</v>
      </c>
      <c r="F197" s="27" t="s">
        <v>1944</v>
      </c>
      <c r="G197" s="27"/>
      <c r="H197" s="27" t="s">
        <v>679</v>
      </c>
      <c r="I197" s="24">
        <v>3708.1967213114754</v>
      </c>
      <c r="J197" s="28">
        <v>0.22</v>
      </c>
      <c r="K197" s="23">
        <v>4524</v>
      </c>
      <c r="L197" s="23">
        <v>4524</v>
      </c>
      <c r="M197" s="29" t="s">
        <v>309</v>
      </c>
      <c r="N197" s="23">
        <v>7190</v>
      </c>
      <c r="O197" s="29" t="s">
        <v>309</v>
      </c>
      <c r="P197" s="29"/>
      <c r="Q197" s="29"/>
      <c r="R197" s="22"/>
      <c r="S197" s="23">
        <v>1</v>
      </c>
      <c r="T197" s="22"/>
      <c r="U197" s="22"/>
      <c r="V197" s="27"/>
      <c r="W197" s="23">
        <v>40</v>
      </c>
      <c r="X197" s="23">
        <v>40</v>
      </c>
      <c r="Y197" s="23">
        <v>100</v>
      </c>
      <c r="Z197" s="22" t="s">
        <v>889</v>
      </c>
      <c r="AA197" s="22"/>
      <c r="AB197" s="23">
        <f>_xlfn.XLOOKUP(E197,nomen!A:A,nomen!C:C,0)</f>
        <v>18</v>
      </c>
      <c r="AC197" s="23"/>
      <c r="AD197" s="27"/>
      <c r="AE197" s="27"/>
      <c r="AF197" s="27" t="s">
        <v>179</v>
      </c>
      <c r="AG197" s="30">
        <v>0.11600000000000001</v>
      </c>
      <c r="AH197" s="24"/>
      <c r="AI197" s="21"/>
    </row>
    <row r="198" spans="1:35" x14ac:dyDescent="0.3">
      <c r="A198" s="22">
        <v>186</v>
      </c>
      <c r="B198" s="23">
        <v>2037427399286</v>
      </c>
      <c r="C198" s="26" t="s">
        <v>681</v>
      </c>
      <c r="D198" s="22" t="s">
        <v>682</v>
      </c>
      <c r="E198" s="22" t="s">
        <v>682</v>
      </c>
      <c r="F198" s="27" t="s">
        <v>1944</v>
      </c>
      <c r="G198" s="27"/>
      <c r="H198" s="27" t="s">
        <v>681</v>
      </c>
      <c r="I198" s="24">
        <v>2677.8688524590166</v>
      </c>
      <c r="J198" s="28">
        <v>0.22</v>
      </c>
      <c r="K198" s="23">
        <v>3267</v>
      </c>
      <c r="L198" s="23">
        <v>3267</v>
      </c>
      <c r="M198" s="29" t="s">
        <v>309</v>
      </c>
      <c r="N198" s="23" t="s">
        <v>994</v>
      </c>
      <c r="O198" s="29" t="s">
        <v>309</v>
      </c>
      <c r="P198" s="29"/>
      <c r="Q198" s="29"/>
      <c r="R198" s="22"/>
      <c r="S198" s="23">
        <v>1</v>
      </c>
      <c r="T198" s="22"/>
      <c r="U198" s="22"/>
      <c r="V198" s="27"/>
      <c r="W198" s="23" t="s">
        <v>904</v>
      </c>
      <c r="X198" s="23" t="s">
        <v>898</v>
      </c>
      <c r="Y198" s="23" t="s">
        <v>904</v>
      </c>
      <c r="Z198" s="22" t="s">
        <v>889</v>
      </c>
      <c r="AA198" s="22"/>
      <c r="AB198" s="23">
        <f>_xlfn.XLOOKUP(E198,nomen!A:A,nomen!C:C,0)</f>
        <v>0</v>
      </c>
      <c r="AC198" s="23"/>
      <c r="AD198" s="27"/>
      <c r="AE198" s="27"/>
      <c r="AF198" s="27" t="s">
        <v>179</v>
      </c>
      <c r="AG198" s="30">
        <v>20.5</v>
      </c>
      <c r="AH198" s="24"/>
      <c r="AI198" s="21"/>
    </row>
    <row r="199" spans="1:35" x14ac:dyDescent="0.3">
      <c r="A199" s="22">
        <v>187</v>
      </c>
      <c r="B199" s="23">
        <v>4673746971796</v>
      </c>
      <c r="C199" s="26" t="s">
        <v>683</v>
      </c>
      <c r="D199" s="22" t="s">
        <v>684</v>
      </c>
      <c r="E199" s="22" t="s">
        <v>684</v>
      </c>
      <c r="F199" s="27" t="s">
        <v>1944</v>
      </c>
      <c r="G199" s="27"/>
      <c r="H199" s="27" t="s">
        <v>683</v>
      </c>
      <c r="I199" s="24">
        <v>406.55737704918033</v>
      </c>
      <c r="J199" s="28">
        <v>0.22</v>
      </c>
      <c r="K199" s="23">
        <v>496</v>
      </c>
      <c r="L199" s="23">
        <v>496</v>
      </c>
      <c r="M199" s="29" t="s">
        <v>309</v>
      </c>
      <c r="N199" s="23" t="s">
        <v>959</v>
      </c>
      <c r="O199" s="29" t="s">
        <v>309</v>
      </c>
      <c r="P199" s="29"/>
      <c r="Q199" s="29"/>
      <c r="R199" s="22"/>
      <c r="S199" s="23">
        <v>1</v>
      </c>
      <c r="T199" s="22"/>
      <c r="U199" s="22"/>
      <c r="V199" s="27"/>
      <c r="W199" s="23">
        <v>100</v>
      </c>
      <c r="X199" s="23">
        <v>100</v>
      </c>
      <c r="Y199" s="23">
        <v>50</v>
      </c>
      <c r="Z199" s="22" t="s">
        <v>889</v>
      </c>
      <c r="AA199" s="22"/>
      <c r="AB199" s="23">
        <f>_xlfn.XLOOKUP(E199,nomen!A:A,nomen!C:C,0)</f>
        <v>0</v>
      </c>
      <c r="AC199" s="23"/>
      <c r="AD199" s="27"/>
      <c r="AE199" s="27"/>
      <c r="AF199" s="27" t="s">
        <v>179</v>
      </c>
      <c r="AG199" s="30">
        <v>0.1</v>
      </c>
      <c r="AH199" s="24"/>
      <c r="AI199" s="21"/>
    </row>
    <row r="200" spans="1:35" x14ac:dyDescent="0.3">
      <c r="A200" s="22">
        <v>188</v>
      </c>
      <c r="B200" s="23">
        <v>4673746972205</v>
      </c>
      <c r="C200" s="26" t="s">
        <v>685</v>
      </c>
      <c r="D200" s="22" t="s">
        <v>686</v>
      </c>
      <c r="E200" s="22" t="s">
        <v>686</v>
      </c>
      <c r="F200" s="27" t="s">
        <v>1944</v>
      </c>
      <c r="G200" s="27"/>
      <c r="H200" s="27" t="s">
        <v>685</v>
      </c>
      <c r="I200" s="24">
        <v>591.80327868852464</v>
      </c>
      <c r="J200" s="28">
        <v>0.22</v>
      </c>
      <c r="K200" s="23">
        <v>722</v>
      </c>
      <c r="L200" s="23">
        <v>722</v>
      </c>
      <c r="M200" s="29" t="s">
        <v>309</v>
      </c>
      <c r="N200" s="23" t="s">
        <v>940</v>
      </c>
      <c r="O200" s="29" t="s">
        <v>309</v>
      </c>
      <c r="P200" s="29"/>
      <c r="Q200" s="29"/>
      <c r="R200" s="22"/>
      <c r="S200" s="23">
        <v>1</v>
      </c>
      <c r="T200" s="22"/>
      <c r="U200" s="22"/>
      <c r="V200" s="27"/>
      <c r="W200" s="23">
        <v>100</v>
      </c>
      <c r="X200" s="23">
        <v>100</v>
      </c>
      <c r="Y200" s="23">
        <v>50</v>
      </c>
      <c r="Z200" s="22" t="s">
        <v>889</v>
      </c>
      <c r="AA200" s="22"/>
      <c r="AB200" s="23">
        <f>_xlfn.XLOOKUP(E200,nomen!A:A,nomen!C:C,0)</f>
        <v>351</v>
      </c>
      <c r="AC200" s="23"/>
      <c r="AD200" s="27"/>
      <c r="AE200" s="27"/>
      <c r="AF200" s="27" t="s">
        <v>179</v>
      </c>
      <c r="AG200" s="30">
        <v>0.1</v>
      </c>
      <c r="AH200" s="24"/>
      <c r="AI200" s="21"/>
    </row>
    <row r="201" spans="1:35" x14ac:dyDescent="0.3">
      <c r="A201" s="22">
        <v>189</v>
      </c>
      <c r="B201" s="23">
        <v>4673746973226</v>
      </c>
      <c r="C201" s="26" t="s">
        <v>687</v>
      </c>
      <c r="D201" s="22" t="s">
        <v>688</v>
      </c>
      <c r="E201" s="22" t="s">
        <v>688</v>
      </c>
      <c r="F201" s="27" t="s">
        <v>1944</v>
      </c>
      <c r="G201" s="27"/>
      <c r="H201" s="27" t="s">
        <v>687</v>
      </c>
      <c r="I201" s="24">
        <v>700.81967213114751</v>
      </c>
      <c r="J201" s="28">
        <v>0.22</v>
      </c>
      <c r="K201" s="23">
        <v>855</v>
      </c>
      <c r="L201" s="23">
        <v>855</v>
      </c>
      <c r="M201" s="29" t="s">
        <v>309</v>
      </c>
      <c r="N201" s="23" t="s">
        <v>992</v>
      </c>
      <c r="O201" s="29" t="s">
        <v>309</v>
      </c>
      <c r="P201" s="29"/>
      <c r="Q201" s="29"/>
      <c r="R201" s="22"/>
      <c r="S201" s="23">
        <v>1</v>
      </c>
      <c r="T201" s="22"/>
      <c r="U201" s="22"/>
      <c r="V201" s="27"/>
      <c r="W201" s="23">
        <v>100</v>
      </c>
      <c r="X201" s="23">
        <v>100</v>
      </c>
      <c r="Y201" s="23">
        <v>50</v>
      </c>
      <c r="Z201" s="22" t="s">
        <v>889</v>
      </c>
      <c r="AA201" s="22"/>
      <c r="AB201" s="23">
        <f>_xlfn.XLOOKUP(E201,nomen!A:A,nomen!C:C,0)</f>
        <v>677</v>
      </c>
      <c r="AC201" s="23"/>
      <c r="AD201" s="27"/>
      <c r="AE201" s="27"/>
      <c r="AF201" s="27" t="s">
        <v>179</v>
      </c>
      <c r="AG201" s="30">
        <v>0.2</v>
      </c>
      <c r="AH201" s="24"/>
      <c r="AI201" s="21"/>
    </row>
    <row r="202" spans="1:35" x14ac:dyDescent="0.3">
      <c r="A202" s="22">
        <v>190</v>
      </c>
      <c r="B202" s="23">
        <v>4652245476858</v>
      </c>
      <c r="C202" s="26" t="s">
        <v>689</v>
      </c>
      <c r="D202" s="22" t="s">
        <v>690</v>
      </c>
      <c r="E202" s="22" t="s">
        <v>690</v>
      </c>
      <c r="F202" s="27" t="s">
        <v>1944</v>
      </c>
      <c r="G202" s="27"/>
      <c r="H202" s="27" t="s">
        <v>689</v>
      </c>
      <c r="I202" s="24">
        <v>351.63934426229508</v>
      </c>
      <c r="J202" s="28">
        <v>0.22</v>
      </c>
      <c r="K202" s="23">
        <v>429</v>
      </c>
      <c r="L202" s="23">
        <v>429</v>
      </c>
      <c r="M202" s="29" t="s">
        <v>309</v>
      </c>
      <c r="N202" s="23" t="s">
        <v>902</v>
      </c>
      <c r="O202" s="29" t="s">
        <v>309</v>
      </c>
      <c r="P202" s="29"/>
      <c r="Q202" s="29"/>
      <c r="R202" s="22"/>
      <c r="S202" s="23">
        <v>1</v>
      </c>
      <c r="T202" s="22"/>
      <c r="U202" s="22"/>
      <c r="V202" s="27"/>
      <c r="W202" s="23" t="s">
        <v>907</v>
      </c>
      <c r="X202" s="23" t="s">
        <v>908</v>
      </c>
      <c r="Y202" s="23" t="s">
        <v>909</v>
      </c>
      <c r="Z202" s="22" t="s">
        <v>889</v>
      </c>
      <c r="AA202" s="22"/>
      <c r="AB202" s="23">
        <f>_xlfn.XLOOKUP(E202,nomen!A:A,nomen!C:C,0)</f>
        <v>88</v>
      </c>
      <c r="AC202" s="23"/>
      <c r="AD202" s="27"/>
      <c r="AE202" s="27"/>
      <c r="AF202" s="27" t="s">
        <v>179</v>
      </c>
      <c r="AG202" s="30">
        <v>5</v>
      </c>
      <c r="AH202" s="24"/>
      <c r="AI202" s="21"/>
    </row>
    <row r="203" spans="1:35" x14ac:dyDescent="0.3">
      <c r="A203" s="22">
        <v>191</v>
      </c>
      <c r="B203" s="23">
        <v>4673746970478</v>
      </c>
      <c r="C203" s="26" t="s">
        <v>691</v>
      </c>
      <c r="D203" s="22" t="s">
        <v>692</v>
      </c>
      <c r="E203" s="22" t="s">
        <v>692</v>
      </c>
      <c r="F203" s="27" t="s">
        <v>1944</v>
      </c>
      <c r="G203" s="27"/>
      <c r="H203" s="27" t="s">
        <v>691</v>
      </c>
      <c r="I203" s="24">
        <v>200.81967213114754</v>
      </c>
      <c r="J203" s="28">
        <v>0.22</v>
      </c>
      <c r="K203" s="23">
        <v>245</v>
      </c>
      <c r="L203" s="23">
        <v>245</v>
      </c>
      <c r="M203" s="29" t="s">
        <v>309</v>
      </c>
      <c r="N203" s="23" t="s">
        <v>910</v>
      </c>
      <c r="O203" s="29" t="s">
        <v>309</v>
      </c>
      <c r="P203" s="29"/>
      <c r="Q203" s="29"/>
      <c r="R203" s="22"/>
      <c r="S203" s="23">
        <v>1</v>
      </c>
      <c r="T203" s="22"/>
      <c r="U203" s="22"/>
      <c r="V203" s="27"/>
      <c r="W203" s="23" t="s">
        <v>897</v>
      </c>
      <c r="X203" s="23" t="s">
        <v>897</v>
      </c>
      <c r="Y203" s="23" t="s">
        <v>903</v>
      </c>
      <c r="Z203" s="22" t="s">
        <v>889</v>
      </c>
      <c r="AA203" s="22"/>
      <c r="AB203" s="23">
        <f>_xlfn.XLOOKUP(E203,nomen!A:A,nomen!C:C,0)</f>
        <v>337</v>
      </c>
      <c r="AC203" s="23"/>
      <c r="AD203" s="27"/>
      <c r="AE203" s="27"/>
      <c r="AF203" s="27" t="s">
        <v>179</v>
      </c>
      <c r="AG203" s="30">
        <v>0.9</v>
      </c>
      <c r="AH203" s="24"/>
      <c r="AI203" s="21"/>
    </row>
    <row r="204" spans="1:35" x14ac:dyDescent="0.3">
      <c r="A204" s="22">
        <v>192</v>
      </c>
      <c r="B204" s="23">
        <v>4673746970171</v>
      </c>
      <c r="C204" s="26" t="s">
        <v>693</v>
      </c>
      <c r="D204" s="22" t="s">
        <v>694</v>
      </c>
      <c r="E204" s="22" t="s">
        <v>694</v>
      </c>
      <c r="F204" s="27" t="s">
        <v>1944</v>
      </c>
      <c r="G204" s="27"/>
      <c r="H204" s="27" t="s">
        <v>693</v>
      </c>
      <c r="I204" s="24">
        <v>304.09836065573774</v>
      </c>
      <c r="J204" s="28">
        <v>0.22</v>
      </c>
      <c r="K204" s="23">
        <v>371</v>
      </c>
      <c r="L204" s="23">
        <v>371</v>
      </c>
      <c r="M204" s="29" t="s">
        <v>309</v>
      </c>
      <c r="N204" s="23" t="s">
        <v>902</v>
      </c>
      <c r="O204" s="29" t="s">
        <v>309</v>
      </c>
      <c r="P204" s="29"/>
      <c r="Q204" s="29"/>
      <c r="R204" s="22"/>
      <c r="S204" s="23">
        <v>1</v>
      </c>
      <c r="T204" s="22"/>
      <c r="U204" s="22"/>
      <c r="V204" s="27"/>
      <c r="W204" s="23" t="s">
        <v>917</v>
      </c>
      <c r="X204" s="23" t="s">
        <v>917</v>
      </c>
      <c r="Y204" s="23" t="s">
        <v>918</v>
      </c>
      <c r="Z204" s="22" t="s">
        <v>889</v>
      </c>
      <c r="AA204" s="22"/>
      <c r="AB204" s="23">
        <f>_xlfn.XLOOKUP(E204,nomen!A:A,nomen!C:C,0)</f>
        <v>1</v>
      </c>
      <c r="AC204" s="23"/>
      <c r="AD204" s="27"/>
      <c r="AE204" s="27"/>
      <c r="AF204" s="27" t="s">
        <v>179</v>
      </c>
      <c r="AG204" s="30">
        <v>0.2</v>
      </c>
      <c r="AH204" s="24"/>
      <c r="AI204" s="21"/>
    </row>
    <row r="205" spans="1:35" x14ac:dyDescent="0.3">
      <c r="A205" s="22">
        <v>193</v>
      </c>
      <c r="B205" s="23">
        <v>4610504430669</v>
      </c>
      <c r="C205" s="26" t="s">
        <v>695</v>
      </c>
      <c r="D205" s="22" t="s">
        <v>696</v>
      </c>
      <c r="E205" s="22" t="s">
        <v>696</v>
      </c>
      <c r="F205" s="27" t="s">
        <v>1944</v>
      </c>
      <c r="G205" s="27"/>
      <c r="H205" s="27" t="s">
        <v>695</v>
      </c>
      <c r="I205" s="24">
        <v>304.09836065573774</v>
      </c>
      <c r="J205" s="28">
        <v>0.22</v>
      </c>
      <c r="K205" s="23">
        <v>371</v>
      </c>
      <c r="L205" s="23">
        <v>371</v>
      </c>
      <c r="M205" s="29" t="s">
        <v>309</v>
      </c>
      <c r="N205" s="23" t="s">
        <v>902</v>
      </c>
      <c r="O205" s="29" t="s">
        <v>309</v>
      </c>
      <c r="P205" s="29"/>
      <c r="Q205" s="29"/>
      <c r="R205" s="22"/>
      <c r="S205" s="23">
        <v>1</v>
      </c>
      <c r="T205" s="22"/>
      <c r="U205" s="22"/>
      <c r="V205" s="27"/>
      <c r="W205" s="23" t="s">
        <v>917</v>
      </c>
      <c r="X205" s="23" t="s">
        <v>917</v>
      </c>
      <c r="Y205" s="23" t="s">
        <v>918</v>
      </c>
      <c r="Z205" s="22" t="s">
        <v>889</v>
      </c>
      <c r="AA205" s="22"/>
      <c r="AB205" s="23">
        <f>_xlfn.XLOOKUP(E205,nomen!A:A,nomen!C:C,0)</f>
        <v>0</v>
      </c>
      <c r="AC205" s="23"/>
      <c r="AD205" s="27"/>
      <c r="AE205" s="27"/>
      <c r="AF205" s="27" t="s">
        <v>179</v>
      </c>
      <c r="AG205" s="30">
        <v>0.2</v>
      </c>
      <c r="AH205" s="24"/>
      <c r="AI205" s="21"/>
    </row>
    <row r="206" spans="1:35" x14ac:dyDescent="0.3">
      <c r="A206" s="22">
        <v>194</v>
      </c>
      <c r="B206" s="23">
        <v>4673746972687</v>
      </c>
      <c r="C206" s="26" t="s">
        <v>697</v>
      </c>
      <c r="D206" s="22" t="s">
        <v>698</v>
      </c>
      <c r="E206" s="22" t="s">
        <v>698</v>
      </c>
      <c r="F206" s="27" t="s">
        <v>1944</v>
      </c>
      <c r="G206" s="27"/>
      <c r="H206" s="27" t="s">
        <v>697</v>
      </c>
      <c r="I206" s="24">
        <v>591.80327868852464</v>
      </c>
      <c r="J206" s="28">
        <v>0.22</v>
      </c>
      <c r="K206" s="23">
        <v>722</v>
      </c>
      <c r="L206" s="23">
        <v>722</v>
      </c>
      <c r="M206" s="29" t="s">
        <v>309</v>
      </c>
      <c r="N206" s="23" t="s">
        <v>940</v>
      </c>
      <c r="O206" s="29" t="s">
        <v>309</v>
      </c>
      <c r="P206" s="29"/>
      <c r="Q206" s="29"/>
      <c r="R206" s="22"/>
      <c r="S206" s="23">
        <v>1</v>
      </c>
      <c r="T206" s="22"/>
      <c r="U206" s="22"/>
      <c r="V206" s="27"/>
      <c r="W206" s="23">
        <v>100</v>
      </c>
      <c r="X206" s="23">
        <v>100</v>
      </c>
      <c r="Y206" s="23">
        <v>50</v>
      </c>
      <c r="Z206" s="22" t="s">
        <v>889</v>
      </c>
      <c r="AA206" s="22"/>
      <c r="AB206" s="23">
        <f>_xlfn.XLOOKUP(E206,nomen!A:A,nomen!C:C,0)</f>
        <v>700</v>
      </c>
      <c r="AC206" s="23"/>
      <c r="AD206" s="27"/>
      <c r="AE206" s="27"/>
      <c r="AF206" s="27" t="s">
        <v>179</v>
      </c>
      <c r="AG206" s="30">
        <v>0.4</v>
      </c>
      <c r="AH206" s="24"/>
      <c r="AI206" s="21"/>
    </row>
    <row r="207" spans="1:35" x14ac:dyDescent="0.3">
      <c r="A207" s="22">
        <v>195</v>
      </c>
      <c r="B207" s="23">
        <v>4673746972236</v>
      </c>
      <c r="C207" s="26" t="s">
        <v>699</v>
      </c>
      <c r="D207" s="22" t="s">
        <v>700</v>
      </c>
      <c r="E207" s="22" t="s">
        <v>700</v>
      </c>
      <c r="F207" s="27" t="s">
        <v>1944</v>
      </c>
      <c r="G207" s="27"/>
      <c r="H207" s="27" t="s">
        <v>699</v>
      </c>
      <c r="I207" s="24">
        <v>483.60655737704917</v>
      </c>
      <c r="J207" s="28">
        <v>0.22</v>
      </c>
      <c r="K207" s="23">
        <v>590</v>
      </c>
      <c r="L207" s="23">
        <v>590</v>
      </c>
      <c r="M207" s="29" t="s">
        <v>309</v>
      </c>
      <c r="N207" s="23" t="s">
        <v>896</v>
      </c>
      <c r="O207" s="29" t="s">
        <v>309</v>
      </c>
      <c r="P207" s="29"/>
      <c r="Q207" s="29"/>
      <c r="R207" s="22"/>
      <c r="S207" s="23">
        <v>1</v>
      </c>
      <c r="T207" s="22"/>
      <c r="U207" s="22"/>
      <c r="V207" s="27"/>
      <c r="W207" s="23">
        <v>100</v>
      </c>
      <c r="X207" s="23">
        <v>100</v>
      </c>
      <c r="Y207" s="23">
        <v>50</v>
      </c>
      <c r="Z207" s="22" t="s">
        <v>889</v>
      </c>
      <c r="AA207" s="22"/>
      <c r="AB207" s="23">
        <f>_xlfn.XLOOKUP(E207,nomen!A:A,nomen!C:C,0)</f>
        <v>94</v>
      </c>
      <c r="AC207" s="23"/>
      <c r="AD207" s="27"/>
      <c r="AE207" s="27"/>
      <c r="AF207" s="27" t="s">
        <v>179</v>
      </c>
      <c r="AG207" s="30">
        <v>0.7</v>
      </c>
      <c r="AH207" s="24"/>
      <c r="AI207" s="21"/>
    </row>
    <row r="208" spans="1:35" x14ac:dyDescent="0.3">
      <c r="A208" s="22">
        <v>196</v>
      </c>
      <c r="B208" s="23">
        <v>4673746970867</v>
      </c>
      <c r="C208" s="26" t="s">
        <v>701</v>
      </c>
      <c r="D208" s="22" t="s">
        <v>702</v>
      </c>
      <c r="E208" s="22" t="s">
        <v>702</v>
      </c>
      <c r="F208" s="27" t="s">
        <v>1944</v>
      </c>
      <c r="G208" s="27"/>
      <c r="H208" s="27" t="s">
        <v>701</v>
      </c>
      <c r="I208" s="24">
        <v>2824.5901639344261</v>
      </c>
      <c r="J208" s="28">
        <v>0.22</v>
      </c>
      <c r="K208" s="23">
        <v>3446</v>
      </c>
      <c r="L208" s="23">
        <v>3446</v>
      </c>
      <c r="M208" s="29" t="s">
        <v>309</v>
      </c>
      <c r="N208" s="23" t="s">
        <v>990</v>
      </c>
      <c r="O208" s="29" t="s">
        <v>309</v>
      </c>
      <c r="P208" s="29"/>
      <c r="Q208" s="29"/>
      <c r="R208" s="22"/>
      <c r="S208" s="23">
        <v>1</v>
      </c>
      <c r="T208" s="22"/>
      <c r="U208" s="22"/>
      <c r="V208" s="27"/>
      <c r="W208" s="23" t="s">
        <v>907</v>
      </c>
      <c r="X208" s="23" t="s">
        <v>908</v>
      </c>
      <c r="Y208" s="23" t="s">
        <v>909</v>
      </c>
      <c r="Z208" s="22" t="s">
        <v>889</v>
      </c>
      <c r="AA208" s="22"/>
      <c r="AB208" s="23">
        <f>_xlfn.XLOOKUP(E208,nomen!A:A,nomen!C:C,0)</f>
        <v>80</v>
      </c>
      <c r="AC208" s="23"/>
      <c r="AD208" s="27"/>
      <c r="AE208" s="27"/>
      <c r="AF208" s="27" t="s">
        <v>179</v>
      </c>
      <c r="AG208" s="30">
        <v>5</v>
      </c>
      <c r="AH208" s="24"/>
      <c r="AI208" s="21"/>
    </row>
    <row r="209" spans="1:35" x14ac:dyDescent="0.3">
      <c r="A209" s="22">
        <v>197</v>
      </c>
      <c r="B209" s="23">
        <v>4652245476346</v>
      </c>
      <c r="C209" s="26" t="s">
        <v>703</v>
      </c>
      <c r="D209" s="22" t="s">
        <v>704</v>
      </c>
      <c r="E209" s="22" t="s">
        <v>704</v>
      </c>
      <c r="F209" s="27" t="s">
        <v>1944</v>
      </c>
      <c r="G209" s="27"/>
      <c r="H209" s="27" t="s">
        <v>703</v>
      </c>
      <c r="I209" s="24">
        <v>172.13114754098362</v>
      </c>
      <c r="J209" s="28">
        <v>0.22</v>
      </c>
      <c r="K209" s="23">
        <v>210</v>
      </c>
      <c r="L209" s="23">
        <v>210</v>
      </c>
      <c r="M209" s="29" t="s">
        <v>309</v>
      </c>
      <c r="N209" s="23" t="s">
        <v>913</v>
      </c>
      <c r="O209" s="29" t="s">
        <v>309</v>
      </c>
      <c r="P209" s="29"/>
      <c r="Q209" s="29"/>
      <c r="R209" s="22"/>
      <c r="S209" s="23">
        <v>1</v>
      </c>
      <c r="T209" s="22"/>
      <c r="U209" s="22"/>
      <c r="V209" s="27"/>
      <c r="W209" s="23" t="s">
        <v>897</v>
      </c>
      <c r="X209" s="23" t="s">
        <v>897</v>
      </c>
      <c r="Y209" s="23" t="s">
        <v>909</v>
      </c>
      <c r="Z209" s="22" t="s">
        <v>889</v>
      </c>
      <c r="AA209" s="22"/>
      <c r="AB209" s="23">
        <f>_xlfn.XLOOKUP(E209,nomen!A:A,nomen!C:C,0)</f>
        <v>343</v>
      </c>
      <c r="AC209" s="23"/>
      <c r="AD209" s="27"/>
      <c r="AE209" s="27"/>
      <c r="AF209" s="27" t="s">
        <v>179</v>
      </c>
      <c r="AG209" s="30">
        <v>1</v>
      </c>
      <c r="AH209" s="24"/>
      <c r="AI209" s="21"/>
    </row>
    <row r="210" spans="1:35" x14ac:dyDescent="0.3">
      <c r="A210" s="22">
        <v>198</v>
      </c>
      <c r="B210" s="23">
        <v>4673746972199</v>
      </c>
      <c r="C210" s="26" t="s">
        <v>705</v>
      </c>
      <c r="D210" s="22" t="s">
        <v>706</v>
      </c>
      <c r="E210" s="22" t="s">
        <v>706</v>
      </c>
      <c r="F210" s="27" t="s">
        <v>1944</v>
      </c>
      <c r="G210" s="27"/>
      <c r="H210" s="27" t="s">
        <v>705</v>
      </c>
      <c r="I210" s="24">
        <v>755.73770491803282</v>
      </c>
      <c r="J210" s="28">
        <v>0.22</v>
      </c>
      <c r="K210" s="23">
        <v>922</v>
      </c>
      <c r="L210" s="23">
        <v>922</v>
      </c>
      <c r="M210" s="29" t="s">
        <v>309</v>
      </c>
      <c r="N210" s="23" t="s">
        <v>968</v>
      </c>
      <c r="O210" s="29" t="s">
        <v>309</v>
      </c>
      <c r="P210" s="29"/>
      <c r="Q210" s="29"/>
      <c r="R210" s="22"/>
      <c r="S210" s="23">
        <v>1</v>
      </c>
      <c r="T210" s="22"/>
      <c r="U210" s="22"/>
      <c r="V210" s="27"/>
      <c r="W210" s="23">
        <v>100</v>
      </c>
      <c r="X210" s="23">
        <v>100</v>
      </c>
      <c r="Y210" s="23">
        <v>50</v>
      </c>
      <c r="Z210" s="22" t="s">
        <v>889</v>
      </c>
      <c r="AA210" s="22"/>
      <c r="AB210" s="23">
        <f>_xlfn.XLOOKUP(E210,nomen!A:A,nomen!C:C,0)</f>
        <v>213</v>
      </c>
      <c r="AC210" s="23"/>
      <c r="AD210" s="27"/>
      <c r="AE210" s="27"/>
      <c r="AF210" s="27" t="s">
        <v>179</v>
      </c>
      <c r="AG210" s="30">
        <v>0.1</v>
      </c>
      <c r="AH210" s="24"/>
      <c r="AI210" s="21"/>
    </row>
    <row r="211" spans="1:35" x14ac:dyDescent="0.3">
      <c r="A211" s="22">
        <v>199</v>
      </c>
      <c r="B211" s="23">
        <v>4673746972298</v>
      </c>
      <c r="C211" s="26" t="s">
        <v>707</v>
      </c>
      <c r="D211" s="22" t="s">
        <v>708</v>
      </c>
      <c r="E211" s="22" t="s">
        <v>708</v>
      </c>
      <c r="F211" s="27" t="s">
        <v>1944</v>
      </c>
      <c r="G211" s="27"/>
      <c r="H211" s="27" t="s">
        <v>707</v>
      </c>
      <c r="I211" s="24">
        <v>190.1639344262295</v>
      </c>
      <c r="J211" s="28">
        <v>0.22</v>
      </c>
      <c r="K211" s="23">
        <v>232</v>
      </c>
      <c r="L211" s="23">
        <v>232</v>
      </c>
      <c r="M211" s="29" t="s">
        <v>309</v>
      </c>
      <c r="N211" s="23" t="s">
        <v>904</v>
      </c>
      <c r="O211" s="29" t="s">
        <v>309</v>
      </c>
      <c r="P211" s="29"/>
      <c r="Q211" s="29"/>
      <c r="R211" s="22"/>
      <c r="S211" s="23">
        <v>1</v>
      </c>
      <c r="T211" s="22"/>
      <c r="U211" s="22"/>
      <c r="V211" s="27"/>
      <c r="W211" s="23">
        <v>100</v>
      </c>
      <c r="X211" s="23">
        <v>100</v>
      </c>
      <c r="Y211" s="23">
        <v>50</v>
      </c>
      <c r="Z211" s="22" t="s">
        <v>889</v>
      </c>
      <c r="AA211" s="22"/>
      <c r="AB211" s="23">
        <f>_xlfn.XLOOKUP(E211,nomen!A:A,nomen!C:C,0)</f>
        <v>389</v>
      </c>
      <c r="AC211" s="23"/>
      <c r="AD211" s="27"/>
      <c r="AE211" s="27"/>
      <c r="AF211" s="27" t="s">
        <v>179</v>
      </c>
      <c r="AG211" s="30">
        <v>0.1</v>
      </c>
      <c r="AH211" s="24"/>
      <c r="AI211" s="21"/>
    </row>
    <row r="212" spans="1:35" x14ac:dyDescent="0.3">
      <c r="A212" s="22">
        <v>200</v>
      </c>
      <c r="B212" s="23">
        <v>4673746971482</v>
      </c>
      <c r="C212" s="26" t="s">
        <v>709</v>
      </c>
      <c r="D212" s="22" t="s">
        <v>710</v>
      </c>
      <c r="E212" s="22" t="s">
        <v>710</v>
      </c>
      <c r="F212" s="27" t="s">
        <v>1944</v>
      </c>
      <c r="G212" s="27"/>
      <c r="H212" s="27" t="s">
        <v>709</v>
      </c>
      <c r="I212" s="24">
        <v>766.39344262295083</v>
      </c>
      <c r="J212" s="28">
        <v>0.22</v>
      </c>
      <c r="K212" s="23">
        <v>935</v>
      </c>
      <c r="L212" s="23">
        <v>935</v>
      </c>
      <c r="M212" s="29" t="s">
        <v>309</v>
      </c>
      <c r="N212" s="23" t="s">
        <v>953</v>
      </c>
      <c r="O212" s="29" t="s">
        <v>309</v>
      </c>
      <c r="P212" s="29"/>
      <c r="Q212" s="29"/>
      <c r="R212" s="22"/>
      <c r="S212" s="23">
        <v>1</v>
      </c>
      <c r="T212" s="22"/>
      <c r="U212" s="22"/>
      <c r="V212" s="27"/>
      <c r="W212" s="23" t="s">
        <v>907</v>
      </c>
      <c r="X212" s="23" t="s">
        <v>908</v>
      </c>
      <c r="Y212" s="23" t="s">
        <v>909</v>
      </c>
      <c r="Z212" s="22" t="s">
        <v>889</v>
      </c>
      <c r="AA212" s="22"/>
      <c r="AB212" s="23">
        <f>_xlfn.XLOOKUP(E212,nomen!A:A,nomen!C:C,0)</f>
        <v>101</v>
      </c>
      <c r="AC212" s="23"/>
      <c r="AD212" s="27"/>
      <c r="AE212" s="27"/>
      <c r="AF212" s="27" t="s">
        <v>179</v>
      </c>
      <c r="AG212" s="30">
        <v>5</v>
      </c>
      <c r="AH212" s="24"/>
      <c r="AI212" s="21"/>
    </row>
    <row r="213" spans="1:35" x14ac:dyDescent="0.3">
      <c r="A213" s="22">
        <v>201</v>
      </c>
      <c r="B213" s="23">
        <v>2000649176270</v>
      </c>
      <c r="C213" s="26" t="s">
        <v>711</v>
      </c>
      <c r="D213" s="22" t="s">
        <v>712</v>
      </c>
      <c r="E213" s="22" t="s">
        <v>712</v>
      </c>
      <c r="F213" s="27" t="s">
        <v>1944</v>
      </c>
      <c r="G213" s="27"/>
      <c r="H213" s="27" t="s">
        <v>711</v>
      </c>
      <c r="I213" s="24">
        <v>4317.2131147540986</v>
      </c>
      <c r="J213" s="28">
        <v>0.22</v>
      </c>
      <c r="K213" s="23">
        <v>5267</v>
      </c>
      <c r="L213" s="23">
        <v>5267</v>
      </c>
      <c r="M213" s="29" t="s">
        <v>309</v>
      </c>
      <c r="N213" s="23">
        <v>8390</v>
      </c>
      <c r="O213" s="29" t="s">
        <v>309</v>
      </c>
      <c r="P213" s="29"/>
      <c r="Q213" s="29"/>
      <c r="R213" s="22"/>
      <c r="S213" s="23">
        <v>1</v>
      </c>
      <c r="T213" s="22"/>
      <c r="U213" s="22"/>
      <c r="V213" s="27"/>
      <c r="W213" s="23">
        <v>40</v>
      </c>
      <c r="X213" s="23">
        <v>40</v>
      </c>
      <c r="Y213" s="23">
        <v>100</v>
      </c>
      <c r="Z213" s="22" t="s">
        <v>889</v>
      </c>
      <c r="AA213" s="22"/>
      <c r="AB213" s="23">
        <f>_xlfn.XLOOKUP(E213,nomen!A:A,nomen!C:C,0)</f>
        <v>78</v>
      </c>
      <c r="AC213" s="23"/>
      <c r="AD213" s="27"/>
      <c r="AE213" s="27"/>
      <c r="AF213" s="27" t="s">
        <v>179</v>
      </c>
      <c r="AG213" s="30">
        <v>0.11600000000000001</v>
      </c>
      <c r="AH213" s="24"/>
      <c r="AI213" s="21"/>
    </row>
    <row r="214" spans="1:35" x14ac:dyDescent="0.3">
      <c r="A214" s="22">
        <v>202</v>
      </c>
      <c r="B214" s="23">
        <v>4652245476100</v>
      </c>
      <c r="C214" s="26" t="s">
        <v>713</v>
      </c>
      <c r="D214" s="22" t="s">
        <v>714</v>
      </c>
      <c r="E214" s="22" t="s">
        <v>714</v>
      </c>
      <c r="F214" s="27" t="s">
        <v>1944</v>
      </c>
      <c r="G214" s="27"/>
      <c r="H214" s="27" t="s">
        <v>713</v>
      </c>
      <c r="I214" s="24">
        <v>1281.1475409836066</v>
      </c>
      <c r="J214" s="28">
        <v>0.22</v>
      </c>
      <c r="K214" s="23">
        <v>1563</v>
      </c>
      <c r="L214" s="23">
        <v>1563</v>
      </c>
      <c r="M214" s="29" t="s">
        <v>309</v>
      </c>
      <c r="N214" s="23" t="s">
        <v>986</v>
      </c>
      <c r="O214" s="29" t="s">
        <v>309</v>
      </c>
      <c r="P214" s="29"/>
      <c r="Q214" s="29"/>
      <c r="R214" s="22"/>
      <c r="S214" s="23">
        <v>1</v>
      </c>
      <c r="T214" s="22"/>
      <c r="U214" s="22"/>
      <c r="V214" s="27"/>
      <c r="W214" s="23" t="s">
        <v>907</v>
      </c>
      <c r="X214" s="23" t="s">
        <v>908</v>
      </c>
      <c r="Y214" s="23" t="s">
        <v>909</v>
      </c>
      <c r="Z214" s="22" t="s">
        <v>889</v>
      </c>
      <c r="AA214" s="22"/>
      <c r="AB214" s="23">
        <f>_xlfn.XLOOKUP(E214,nomen!A:A,nomen!C:C,0)</f>
        <v>78</v>
      </c>
      <c r="AC214" s="23"/>
      <c r="AD214" s="27"/>
      <c r="AE214" s="27"/>
      <c r="AF214" s="27" t="s">
        <v>179</v>
      </c>
      <c r="AG214" s="30">
        <v>5</v>
      </c>
      <c r="AH214" s="24"/>
      <c r="AI214" s="21"/>
    </row>
    <row r="215" spans="1:35" x14ac:dyDescent="0.3">
      <c r="A215" s="22">
        <v>203</v>
      </c>
      <c r="B215" s="23">
        <v>4673746970256</v>
      </c>
      <c r="C215" s="26" t="s">
        <v>715</v>
      </c>
      <c r="D215" s="22" t="s">
        <v>716</v>
      </c>
      <c r="E215" s="22" t="s">
        <v>716</v>
      </c>
      <c r="F215" s="27" t="s">
        <v>1944</v>
      </c>
      <c r="G215" s="27"/>
      <c r="H215" s="27" t="s">
        <v>715</v>
      </c>
      <c r="I215" s="24">
        <v>459.01639344262298</v>
      </c>
      <c r="J215" s="28">
        <v>0.22</v>
      </c>
      <c r="K215" s="23">
        <v>560</v>
      </c>
      <c r="L215" s="23">
        <v>560</v>
      </c>
      <c r="M215" s="29" t="s">
        <v>309</v>
      </c>
      <c r="N215" s="23" t="s">
        <v>896</v>
      </c>
      <c r="O215" s="29" t="s">
        <v>309</v>
      </c>
      <c r="P215" s="29"/>
      <c r="Q215" s="29"/>
      <c r="R215" s="22"/>
      <c r="S215" s="23">
        <v>1</v>
      </c>
      <c r="T215" s="22"/>
      <c r="U215" s="22"/>
      <c r="V215" s="27"/>
      <c r="W215" s="23" t="s">
        <v>897</v>
      </c>
      <c r="X215" s="23" t="s">
        <v>897</v>
      </c>
      <c r="Y215" s="23" t="s">
        <v>903</v>
      </c>
      <c r="Z215" s="22" t="s">
        <v>889</v>
      </c>
      <c r="AA215" s="22"/>
      <c r="AB215" s="23">
        <f>_xlfn.XLOOKUP(E215,nomen!A:A,nomen!C:C,0)</f>
        <v>288</v>
      </c>
      <c r="AC215" s="23"/>
      <c r="AD215" s="27"/>
      <c r="AE215" s="27"/>
      <c r="AF215" s="27" t="s">
        <v>179</v>
      </c>
      <c r="AG215" s="30">
        <v>0.6</v>
      </c>
      <c r="AH215" s="24"/>
      <c r="AI215" s="21"/>
    </row>
    <row r="216" spans="1:35" x14ac:dyDescent="0.3">
      <c r="A216" s="22">
        <v>204</v>
      </c>
      <c r="B216" s="23">
        <v>4673746972816</v>
      </c>
      <c r="C216" s="26" t="s">
        <v>717</v>
      </c>
      <c r="D216" s="22" t="s">
        <v>718</v>
      </c>
      <c r="E216" s="22" t="s">
        <v>718</v>
      </c>
      <c r="F216" s="27" t="s">
        <v>1944</v>
      </c>
      <c r="G216" s="27"/>
      <c r="H216" s="27" t="s">
        <v>717</v>
      </c>
      <c r="I216" s="24">
        <v>537.70491803278685</v>
      </c>
      <c r="J216" s="28">
        <v>0.22</v>
      </c>
      <c r="K216" s="23">
        <v>656</v>
      </c>
      <c r="L216" s="23">
        <v>656</v>
      </c>
      <c r="M216" s="29" t="s">
        <v>309</v>
      </c>
      <c r="N216" s="23" t="s">
        <v>944</v>
      </c>
      <c r="O216" s="29" t="s">
        <v>309</v>
      </c>
      <c r="P216" s="29"/>
      <c r="Q216" s="29"/>
      <c r="R216" s="22"/>
      <c r="S216" s="23">
        <v>1</v>
      </c>
      <c r="T216" s="22"/>
      <c r="U216" s="22"/>
      <c r="V216" s="27"/>
      <c r="W216" s="23">
        <v>100</v>
      </c>
      <c r="X216" s="23">
        <v>100</v>
      </c>
      <c r="Y216" s="23">
        <v>50</v>
      </c>
      <c r="Z216" s="22" t="s">
        <v>889</v>
      </c>
      <c r="AA216" s="22"/>
      <c r="AB216" s="23">
        <f>_xlfn.XLOOKUP(E216,nomen!A:A,nomen!C:C,0)</f>
        <v>468</v>
      </c>
      <c r="AC216" s="23"/>
      <c r="AD216" s="27"/>
      <c r="AE216" s="27"/>
      <c r="AF216" s="27" t="s">
        <v>179</v>
      </c>
      <c r="AG216" s="30">
        <v>0.1</v>
      </c>
      <c r="AH216" s="24"/>
      <c r="AI216" s="21"/>
    </row>
    <row r="217" spans="1:35" x14ac:dyDescent="0.3">
      <c r="A217" s="22">
        <v>205</v>
      </c>
      <c r="B217" s="23">
        <v>4673746970447</v>
      </c>
      <c r="C217" s="26" t="s">
        <v>719</v>
      </c>
      <c r="D217" s="22" t="s">
        <v>720</v>
      </c>
      <c r="E217" s="22" t="s">
        <v>720</v>
      </c>
      <c r="F217" s="27" t="s">
        <v>1944</v>
      </c>
      <c r="G217" s="27"/>
      <c r="H217" s="27" t="s">
        <v>719</v>
      </c>
      <c r="I217" s="24">
        <v>2567.2131147540986</v>
      </c>
      <c r="J217" s="28">
        <v>0.22</v>
      </c>
      <c r="K217" s="23">
        <v>3132</v>
      </c>
      <c r="L217" s="23">
        <v>3132</v>
      </c>
      <c r="M217" s="29" t="s">
        <v>309</v>
      </c>
      <c r="N217" s="23" t="s">
        <v>946</v>
      </c>
      <c r="O217" s="29" t="s">
        <v>309</v>
      </c>
      <c r="P217" s="29"/>
      <c r="Q217" s="29"/>
      <c r="R217" s="22"/>
      <c r="S217" s="23">
        <v>1</v>
      </c>
      <c r="T217" s="22"/>
      <c r="U217" s="22"/>
      <c r="V217" s="27"/>
      <c r="W217" s="23" t="s">
        <v>907</v>
      </c>
      <c r="X217" s="23" t="s">
        <v>908</v>
      </c>
      <c r="Y217" s="23" t="s">
        <v>909</v>
      </c>
      <c r="Z217" s="22" t="s">
        <v>889</v>
      </c>
      <c r="AA217" s="22"/>
      <c r="AB217" s="23">
        <f>_xlfn.XLOOKUP(E217,nomen!A:A,nomen!C:C,0)</f>
        <v>210</v>
      </c>
      <c r="AC217" s="23"/>
      <c r="AD217" s="27"/>
      <c r="AE217" s="27"/>
      <c r="AF217" s="27" t="s">
        <v>179</v>
      </c>
      <c r="AG217" s="30">
        <v>4.5999999999999996</v>
      </c>
      <c r="AH217" s="24"/>
      <c r="AI217" s="21"/>
    </row>
    <row r="218" spans="1:35" x14ac:dyDescent="0.3">
      <c r="A218" s="22">
        <v>206</v>
      </c>
      <c r="B218" s="23">
        <v>4673746971673</v>
      </c>
      <c r="C218" s="26" t="s">
        <v>721</v>
      </c>
      <c r="D218" s="22" t="s">
        <v>722</v>
      </c>
      <c r="E218" s="22" t="s">
        <v>722</v>
      </c>
      <c r="F218" s="27" t="s">
        <v>1944</v>
      </c>
      <c r="G218" s="27"/>
      <c r="H218" s="27" t="s">
        <v>721</v>
      </c>
      <c r="I218" s="24">
        <v>1383.6065573770493</v>
      </c>
      <c r="J218" s="28">
        <v>0.22</v>
      </c>
      <c r="K218" s="23">
        <v>1688</v>
      </c>
      <c r="L218" s="23">
        <v>1688</v>
      </c>
      <c r="M218" s="29" t="s">
        <v>309</v>
      </c>
      <c r="N218" s="23" t="s">
        <v>982</v>
      </c>
      <c r="O218" s="29" t="s">
        <v>309</v>
      </c>
      <c r="P218" s="29"/>
      <c r="Q218" s="29"/>
      <c r="R218" s="22"/>
      <c r="S218" s="23">
        <v>1</v>
      </c>
      <c r="T218" s="22"/>
      <c r="U218" s="22"/>
      <c r="V218" s="27"/>
      <c r="W218" s="23" t="s">
        <v>907</v>
      </c>
      <c r="X218" s="23" t="s">
        <v>908</v>
      </c>
      <c r="Y218" s="23" t="s">
        <v>909</v>
      </c>
      <c r="Z218" s="22" t="s">
        <v>889</v>
      </c>
      <c r="AA218" s="22"/>
      <c r="AB218" s="23">
        <f>_xlfn.XLOOKUP(E218,nomen!A:A,nomen!C:C,0)</f>
        <v>112</v>
      </c>
      <c r="AC218" s="23"/>
      <c r="AD218" s="27"/>
      <c r="AE218" s="27"/>
      <c r="AF218" s="27" t="s">
        <v>179</v>
      </c>
      <c r="AG218" s="30">
        <v>4.1399999999999997</v>
      </c>
      <c r="AH218" s="24"/>
      <c r="AI218" s="21"/>
    </row>
    <row r="219" spans="1:35" x14ac:dyDescent="0.3">
      <c r="A219" s="22">
        <v>207</v>
      </c>
      <c r="B219" s="23">
        <v>4673746971642</v>
      </c>
      <c r="C219" s="26" t="s">
        <v>723</v>
      </c>
      <c r="D219" s="22" t="s">
        <v>724</v>
      </c>
      <c r="E219" s="22" t="s">
        <v>724</v>
      </c>
      <c r="F219" s="27" t="s">
        <v>1944</v>
      </c>
      <c r="G219" s="27"/>
      <c r="H219" s="27" t="s">
        <v>723</v>
      </c>
      <c r="I219" s="24">
        <v>304.09836065573774</v>
      </c>
      <c r="J219" s="28">
        <v>0.22</v>
      </c>
      <c r="K219" s="23">
        <v>371</v>
      </c>
      <c r="L219" s="23">
        <v>371</v>
      </c>
      <c r="M219" s="29" t="s">
        <v>309</v>
      </c>
      <c r="N219" s="23" t="s">
        <v>902</v>
      </c>
      <c r="O219" s="29" t="s">
        <v>309</v>
      </c>
      <c r="P219" s="29"/>
      <c r="Q219" s="29"/>
      <c r="R219" s="22"/>
      <c r="S219" s="23">
        <v>1</v>
      </c>
      <c r="T219" s="22"/>
      <c r="U219" s="22"/>
      <c r="V219" s="27"/>
      <c r="W219" s="23" t="s">
        <v>897</v>
      </c>
      <c r="X219" s="23" t="s">
        <v>897</v>
      </c>
      <c r="Y219" s="23" t="s">
        <v>903</v>
      </c>
      <c r="Z219" s="22" t="s">
        <v>889</v>
      </c>
      <c r="AA219" s="22"/>
      <c r="AB219" s="23">
        <f>_xlfn.XLOOKUP(E219,nomen!A:A,nomen!C:C,0)</f>
        <v>618</v>
      </c>
      <c r="AC219" s="23"/>
      <c r="AD219" s="27"/>
      <c r="AE219" s="27"/>
      <c r="AF219" s="27" t="s">
        <v>179</v>
      </c>
      <c r="AG219" s="30">
        <v>0.8</v>
      </c>
      <c r="AH219" s="24"/>
      <c r="AI219" s="21"/>
    </row>
    <row r="220" spans="1:35" x14ac:dyDescent="0.3">
      <c r="A220" s="22">
        <v>208</v>
      </c>
      <c r="B220" s="23">
        <v>4673746970416</v>
      </c>
      <c r="C220" s="26" t="s">
        <v>725</v>
      </c>
      <c r="D220" s="22" t="s">
        <v>726</v>
      </c>
      <c r="E220" s="22" t="s">
        <v>726</v>
      </c>
      <c r="F220" s="27" t="s">
        <v>1944</v>
      </c>
      <c r="G220" s="27"/>
      <c r="H220" s="27" t="s">
        <v>725</v>
      </c>
      <c r="I220" s="24">
        <v>2567.2131147540986</v>
      </c>
      <c r="J220" s="28">
        <v>0.22</v>
      </c>
      <c r="K220" s="23">
        <v>3132</v>
      </c>
      <c r="L220" s="23">
        <v>3132</v>
      </c>
      <c r="M220" s="29" t="s">
        <v>309</v>
      </c>
      <c r="N220" s="23" t="s">
        <v>946</v>
      </c>
      <c r="O220" s="29" t="s">
        <v>309</v>
      </c>
      <c r="P220" s="29"/>
      <c r="Q220" s="29"/>
      <c r="R220" s="22"/>
      <c r="S220" s="23">
        <v>1</v>
      </c>
      <c r="T220" s="22"/>
      <c r="U220" s="22"/>
      <c r="V220" s="27"/>
      <c r="W220" s="23" t="s">
        <v>907</v>
      </c>
      <c r="X220" s="23" t="s">
        <v>908</v>
      </c>
      <c r="Y220" s="23" t="s">
        <v>909</v>
      </c>
      <c r="Z220" s="22" t="s">
        <v>889</v>
      </c>
      <c r="AA220" s="22"/>
      <c r="AB220" s="23">
        <f>_xlfn.XLOOKUP(E220,nomen!A:A,nomen!C:C,0)</f>
        <v>248</v>
      </c>
      <c r="AC220" s="23"/>
      <c r="AD220" s="27"/>
      <c r="AE220" s="27"/>
      <c r="AF220" s="27" t="s">
        <v>179</v>
      </c>
      <c r="AG220" s="30">
        <v>4.5</v>
      </c>
      <c r="AH220" s="24"/>
      <c r="AI220" s="21"/>
    </row>
    <row r="221" spans="1:35" x14ac:dyDescent="0.3">
      <c r="A221" s="22">
        <v>209</v>
      </c>
      <c r="B221" s="23">
        <v>4673746973912</v>
      </c>
      <c r="C221" s="26" t="s">
        <v>727</v>
      </c>
      <c r="D221" s="22" t="s">
        <v>728</v>
      </c>
      <c r="E221" s="22" t="s">
        <v>728</v>
      </c>
      <c r="F221" s="27" t="s">
        <v>1944</v>
      </c>
      <c r="G221" s="27"/>
      <c r="H221" s="27" t="s">
        <v>727</v>
      </c>
      <c r="I221" s="24">
        <v>589.34426229508199</v>
      </c>
      <c r="J221" s="28">
        <v>0.22</v>
      </c>
      <c r="K221" s="23">
        <v>719</v>
      </c>
      <c r="L221" s="23">
        <v>719</v>
      </c>
      <c r="M221" s="29" t="s">
        <v>309</v>
      </c>
      <c r="N221" s="23" t="s">
        <v>944</v>
      </c>
      <c r="O221" s="29" t="s">
        <v>309</v>
      </c>
      <c r="P221" s="29"/>
      <c r="Q221" s="29"/>
      <c r="R221" s="22"/>
      <c r="S221" s="23">
        <v>1</v>
      </c>
      <c r="T221" s="22"/>
      <c r="U221" s="22"/>
      <c r="V221" s="27"/>
      <c r="W221" s="23" t="s">
        <v>907</v>
      </c>
      <c r="X221" s="23" t="s">
        <v>908</v>
      </c>
      <c r="Y221" s="23" t="s">
        <v>909</v>
      </c>
      <c r="Z221" s="22" t="s">
        <v>889</v>
      </c>
      <c r="AA221" s="22"/>
      <c r="AB221" s="23">
        <f>_xlfn.XLOOKUP(E221,nomen!A:A,nomen!C:C,0)</f>
        <v>96</v>
      </c>
      <c r="AC221" s="23"/>
      <c r="AD221" s="27"/>
      <c r="AE221" s="27"/>
      <c r="AF221" s="27" t="s">
        <v>179</v>
      </c>
      <c r="AG221" s="30">
        <v>5</v>
      </c>
      <c r="AH221" s="24"/>
      <c r="AI221" s="21"/>
    </row>
    <row r="222" spans="1:35" x14ac:dyDescent="0.3">
      <c r="A222" s="22">
        <v>210</v>
      </c>
      <c r="B222" s="23">
        <v>4673746972397</v>
      </c>
      <c r="C222" s="26" t="s">
        <v>729</v>
      </c>
      <c r="D222" s="22" t="s">
        <v>1635</v>
      </c>
      <c r="E222" s="22" t="s">
        <v>1635</v>
      </c>
      <c r="F222" s="27" t="s">
        <v>1944</v>
      </c>
      <c r="G222" s="27"/>
      <c r="H222" s="27" t="s">
        <v>729</v>
      </c>
      <c r="I222" s="24">
        <v>463.11475409836066</v>
      </c>
      <c r="J222" s="28">
        <v>0.22</v>
      </c>
      <c r="K222" s="23">
        <v>565</v>
      </c>
      <c r="L222" s="23">
        <v>565</v>
      </c>
      <c r="M222" s="29" t="s">
        <v>309</v>
      </c>
      <c r="N222" s="23">
        <v>990</v>
      </c>
      <c r="O222" s="29" t="s">
        <v>309</v>
      </c>
      <c r="P222" s="29"/>
      <c r="Q222" s="29"/>
      <c r="R222" s="22"/>
      <c r="S222" s="23">
        <v>1</v>
      </c>
      <c r="T222" s="22"/>
      <c r="U222" s="22"/>
      <c r="V222" s="27"/>
      <c r="W222" s="23">
        <v>100</v>
      </c>
      <c r="X222" s="23">
        <v>100</v>
      </c>
      <c r="Y222" s="23">
        <v>50</v>
      </c>
      <c r="Z222" s="22" t="s">
        <v>889</v>
      </c>
      <c r="AA222" s="22"/>
      <c r="AB222" s="23">
        <f>_xlfn.XLOOKUP(E222,nomen!A:A,nomen!C:C,0)</f>
        <v>347</v>
      </c>
      <c r="AC222" s="23"/>
      <c r="AD222" s="27"/>
      <c r="AE222" s="27"/>
      <c r="AF222" s="27" t="s">
        <v>179</v>
      </c>
      <c r="AG222" s="30">
        <v>0.1</v>
      </c>
      <c r="AH222" s="24"/>
      <c r="AI222" s="21"/>
    </row>
    <row r="223" spans="1:35" x14ac:dyDescent="0.3">
      <c r="A223" s="22">
        <v>211</v>
      </c>
      <c r="B223" s="23">
        <v>4673746973240</v>
      </c>
      <c r="C223" s="26" t="s">
        <v>731</v>
      </c>
      <c r="D223" s="22" t="s">
        <v>732</v>
      </c>
      <c r="E223" s="22" t="s">
        <v>732</v>
      </c>
      <c r="F223" s="27" t="s">
        <v>1944</v>
      </c>
      <c r="G223" s="27"/>
      <c r="H223" s="27" t="s">
        <v>731</v>
      </c>
      <c r="I223" s="24">
        <v>51549.180327868853</v>
      </c>
      <c r="J223" s="28">
        <v>0.22</v>
      </c>
      <c r="K223" s="23">
        <v>62890</v>
      </c>
      <c r="L223" s="23">
        <v>62890</v>
      </c>
      <c r="M223" s="29" t="s">
        <v>309</v>
      </c>
      <c r="N223" s="23" t="s">
        <v>976</v>
      </c>
      <c r="O223" s="29" t="s">
        <v>309</v>
      </c>
      <c r="P223" s="29"/>
      <c r="Q223" s="29"/>
      <c r="R223" s="22"/>
      <c r="S223" s="23">
        <v>1</v>
      </c>
      <c r="T223" s="22"/>
      <c r="U223" s="22"/>
      <c r="V223" s="27"/>
      <c r="W223" s="23">
        <v>100</v>
      </c>
      <c r="X223" s="23">
        <v>100</v>
      </c>
      <c r="Y223" s="23">
        <v>50</v>
      </c>
      <c r="Z223" s="22" t="s">
        <v>889</v>
      </c>
      <c r="AA223" s="22"/>
      <c r="AB223" s="23">
        <f>_xlfn.XLOOKUP(E223,nomen!A:A,nomen!C:C,0)</f>
        <v>0</v>
      </c>
      <c r="AC223" s="23"/>
      <c r="AD223" s="27"/>
      <c r="AE223" s="27"/>
      <c r="AF223" s="27" t="s">
        <v>179</v>
      </c>
      <c r="AG223" s="30">
        <v>12</v>
      </c>
      <c r="AH223" s="24"/>
      <c r="AI223" s="21"/>
    </row>
    <row r="224" spans="1:35" x14ac:dyDescent="0.3">
      <c r="A224" s="22">
        <v>212</v>
      </c>
      <c r="B224" s="23">
        <v>4673746971635</v>
      </c>
      <c r="C224" s="26" t="s">
        <v>733</v>
      </c>
      <c r="D224" s="22" t="s">
        <v>734</v>
      </c>
      <c r="E224" s="22" t="s">
        <v>734</v>
      </c>
      <c r="F224" s="27" t="s">
        <v>1944</v>
      </c>
      <c r="G224" s="27"/>
      <c r="H224" s="27" t="s">
        <v>733</v>
      </c>
      <c r="I224" s="24">
        <v>1538.5245901639344</v>
      </c>
      <c r="J224" s="28">
        <v>0.22</v>
      </c>
      <c r="K224" s="23">
        <v>1877</v>
      </c>
      <c r="L224" s="23">
        <v>1877</v>
      </c>
      <c r="M224" s="29" t="s">
        <v>309</v>
      </c>
      <c r="N224" s="23" t="s">
        <v>995</v>
      </c>
      <c r="O224" s="29" t="s">
        <v>309</v>
      </c>
      <c r="P224" s="29"/>
      <c r="Q224" s="29"/>
      <c r="R224" s="22"/>
      <c r="S224" s="23">
        <v>1</v>
      </c>
      <c r="T224" s="22"/>
      <c r="U224" s="22"/>
      <c r="V224" s="27"/>
      <c r="W224" s="23">
        <v>100</v>
      </c>
      <c r="X224" s="23">
        <v>100</v>
      </c>
      <c r="Y224" s="23">
        <v>50</v>
      </c>
      <c r="Z224" s="22" t="s">
        <v>889</v>
      </c>
      <c r="AA224" s="22"/>
      <c r="AB224" s="23">
        <f>_xlfn.XLOOKUP(E224,nomen!A:A,nomen!C:C,0)</f>
        <v>50</v>
      </c>
      <c r="AC224" s="23"/>
      <c r="AD224" s="27"/>
      <c r="AE224" s="27"/>
      <c r="AF224" s="27" t="s">
        <v>179</v>
      </c>
      <c r="AG224" s="30">
        <v>0.2</v>
      </c>
      <c r="AH224" s="24"/>
      <c r="AI224" s="21"/>
    </row>
    <row r="225" spans="1:35" x14ac:dyDescent="0.3">
      <c r="A225" s="22">
        <v>213</v>
      </c>
      <c r="B225" s="23">
        <v>4673746971178</v>
      </c>
      <c r="C225" s="26" t="s">
        <v>735</v>
      </c>
      <c r="D225" s="22" t="s">
        <v>736</v>
      </c>
      <c r="E225" s="22" t="s">
        <v>736</v>
      </c>
      <c r="F225" s="27" t="s">
        <v>1944</v>
      </c>
      <c r="G225" s="27"/>
      <c r="H225" s="27" t="s">
        <v>735</v>
      </c>
      <c r="I225" s="24">
        <v>1744.2622950819673</v>
      </c>
      <c r="J225" s="28">
        <v>0.22</v>
      </c>
      <c r="K225" s="23">
        <v>2128</v>
      </c>
      <c r="L225" s="23">
        <v>2128</v>
      </c>
      <c r="M225" s="29" t="s">
        <v>309</v>
      </c>
      <c r="N225" s="23" t="s">
        <v>996</v>
      </c>
      <c r="O225" s="29" t="s">
        <v>309</v>
      </c>
      <c r="P225" s="29"/>
      <c r="Q225" s="29"/>
      <c r="R225" s="22"/>
      <c r="S225" s="23">
        <v>1</v>
      </c>
      <c r="T225" s="22"/>
      <c r="U225" s="22"/>
      <c r="V225" s="27"/>
      <c r="W225" s="23" t="s">
        <v>907</v>
      </c>
      <c r="X225" s="23" t="s">
        <v>908</v>
      </c>
      <c r="Y225" s="23" t="s">
        <v>909</v>
      </c>
      <c r="Z225" s="22" t="s">
        <v>889</v>
      </c>
      <c r="AA225" s="22"/>
      <c r="AB225" s="23">
        <f>_xlfn.XLOOKUP(E225,nomen!A:A,nomen!C:C,0)</f>
        <v>105</v>
      </c>
      <c r="AC225" s="23"/>
      <c r="AD225" s="27"/>
      <c r="AE225" s="27"/>
      <c r="AF225" s="27" t="s">
        <v>179</v>
      </c>
      <c r="AG225" s="30">
        <v>5</v>
      </c>
      <c r="AH225" s="24"/>
      <c r="AI225" s="21"/>
    </row>
    <row r="226" spans="1:35" x14ac:dyDescent="0.3">
      <c r="A226" s="22">
        <v>214</v>
      </c>
      <c r="B226" s="23">
        <v>4673746971468</v>
      </c>
      <c r="C226" s="26" t="s">
        <v>737</v>
      </c>
      <c r="D226" s="22" t="s">
        <v>738</v>
      </c>
      <c r="E226" s="22" t="s">
        <v>738</v>
      </c>
      <c r="F226" s="27" t="s">
        <v>1944</v>
      </c>
      <c r="G226" s="27"/>
      <c r="H226" s="27" t="s">
        <v>737</v>
      </c>
      <c r="I226" s="24">
        <v>766.39344262295083</v>
      </c>
      <c r="J226" s="28">
        <v>0.22</v>
      </c>
      <c r="K226" s="23">
        <v>935</v>
      </c>
      <c r="L226" s="23">
        <v>935</v>
      </c>
      <c r="M226" s="29" t="s">
        <v>309</v>
      </c>
      <c r="N226" s="23" t="s">
        <v>953</v>
      </c>
      <c r="O226" s="29" t="s">
        <v>309</v>
      </c>
      <c r="P226" s="29"/>
      <c r="Q226" s="29"/>
      <c r="R226" s="22"/>
      <c r="S226" s="23">
        <v>1</v>
      </c>
      <c r="T226" s="22"/>
      <c r="U226" s="22"/>
      <c r="V226" s="27"/>
      <c r="W226" s="23" t="s">
        <v>907</v>
      </c>
      <c r="X226" s="23" t="s">
        <v>908</v>
      </c>
      <c r="Y226" s="23" t="s">
        <v>909</v>
      </c>
      <c r="Z226" s="22" t="s">
        <v>889</v>
      </c>
      <c r="AA226" s="22"/>
      <c r="AB226" s="23">
        <f>_xlfn.XLOOKUP(E226,nomen!A:A,nomen!C:C,0)</f>
        <v>0</v>
      </c>
      <c r="AC226" s="23"/>
      <c r="AD226" s="27"/>
      <c r="AE226" s="27"/>
      <c r="AF226" s="27" t="s">
        <v>179</v>
      </c>
      <c r="AG226" s="30">
        <v>5</v>
      </c>
      <c r="AH226" s="24"/>
      <c r="AI226" s="21"/>
    </row>
    <row r="227" spans="1:35" x14ac:dyDescent="0.3">
      <c r="A227" s="22">
        <v>215</v>
      </c>
      <c r="B227" s="23">
        <v>4673746971741</v>
      </c>
      <c r="C227" s="26" t="s">
        <v>739</v>
      </c>
      <c r="D227" s="22" t="s">
        <v>740</v>
      </c>
      <c r="E227" s="22" t="s">
        <v>740</v>
      </c>
      <c r="F227" s="27" t="s">
        <v>1944</v>
      </c>
      <c r="G227" s="27"/>
      <c r="H227" s="27" t="s">
        <v>739</v>
      </c>
      <c r="I227" s="24">
        <v>1452.4590163934427</v>
      </c>
      <c r="J227" s="28">
        <v>0.22</v>
      </c>
      <c r="K227" s="23">
        <v>1772</v>
      </c>
      <c r="L227" s="23">
        <v>1772</v>
      </c>
      <c r="M227" s="29" t="s">
        <v>309</v>
      </c>
      <c r="N227" s="23" t="s">
        <v>991</v>
      </c>
      <c r="O227" s="29" t="s">
        <v>309</v>
      </c>
      <c r="P227" s="29"/>
      <c r="Q227" s="29"/>
      <c r="R227" s="22"/>
      <c r="S227" s="23">
        <v>1</v>
      </c>
      <c r="T227" s="22"/>
      <c r="U227" s="22"/>
      <c r="V227" s="27"/>
      <c r="W227" s="23">
        <v>100</v>
      </c>
      <c r="X227" s="23">
        <v>100</v>
      </c>
      <c r="Y227" s="23">
        <v>50</v>
      </c>
      <c r="Z227" s="22" t="s">
        <v>889</v>
      </c>
      <c r="AA227" s="22"/>
      <c r="AB227" s="23">
        <f>_xlfn.XLOOKUP(E227,nomen!A:A,nomen!C:C,0)</f>
        <v>89</v>
      </c>
      <c r="AC227" s="23"/>
      <c r="AD227" s="27"/>
      <c r="AE227" s="27"/>
      <c r="AF227" s="27" t="s">
        <v>179</v>
      </c>
      <c r="AG227" s="30">
        <v>2</v>
      </c>
      <c r="AH227" s="24"/>
      <c r="AI227" s="21"/>
    </row>
    <row r="228" spans="1:35" x14ac:dyDescent="0.3">
      <c r="A228" s="22">
        <v>216</v>
      </c>
      <c r="B228" s="23">
        <v>4652245476735</v>
      </c>
      <c r="C228" s="26" t="s">
        <v>741</v>
      </c>
      <c r="D228" s="22" t="s">
        <v>742</v>
      </c>
      <c r="E228" s="22" t="s">
        <v>742</v>
      </c>
      <c r="F228" s="27" t="s">
        <v>1944</v>
      </c>
      <c r="G228" s="27"/>
      <c r="H228" s="27" t="s">
        <v>741</v>
      </c>
      <c r="I228" s="24">
        <v>1024.5901639344263</v>
      </c>
      <c r="J228" s="28">
        <v>0.22</v>
      </c>
      <c r="K228" s="23">
        <v>1250</v>
      </c>
      <c r="L228" s="23">
        <v>1250</v>
      </c>
      <c r="M228" s="29" t="s">
        <v>309</v>
      </c>
      <c r="N228" s="23" t="s">
        <v>949</v>
      </c>
      <c r="O228" s="29" t="s">
        <v>309</v>
      </c>
      <c r="P228" s="29"/>
      <c r="Q228" s="29"/>
      <c r="R228" s="22"/>
      <c r="S228" s="23">
        <v>1</v>
      </c>
      <c r="T228" s="22"/>
      <c r="U228" s="22"/>
      <c r="V228" s="27"/>
      <c r="W228" s="23" t="s">
        <v>907</v>
      </c>
      <c r="X228" s="23" t="s">
        <v>908</v>
      </c>
      <c r="Y228" s="23" t="s">
        <v>909</v>
      </c>
      <c r="Z228" s="22" t="s">
        <v>889</v>
      </c>
      <c r="AA228" s="22"/>
      <c r="AB228" s="23">
        <f>_xlfn.XLOOKUP(E228,nomen!A:A,nomen!C:C,0)</f>
        <v>100</v>
      </c>
      <c r="AC228" s="23"/>
      <c r="AD228" s="27"/>
      <c r="AE228" s="27"/>
      <c r="AF228" s="27" t="s">
        <v>179</v>
      </c>
      <c r="AG228" s="30">
        <v>5</v>
      </c>
      <c r="AH228" s="24"/>
      <c r="AI228" s="21"/>
    </row>
    <row r="229" spans="1:35" x14ac:dyDescent="0.3">
      <c r="A229" s="22">
        <v>217</v>
      </c>
      <c r="B229" s="23">
        <v>4652245476537</v>
      </c>
      <c r="C229" s="26" t="s">
        <v>743</v>
      </c>
      <c r="D229" s="22" t="s">
        <v>744</v>
      </c>
      <c r="E229" s="22" t="s">
        <v>744</v>
      </c>
      <c r="F229" s="27" t="s">
        <v>1944</v>
      </c>
      <c r="G229" s="27"/>
      <c r="H229" s="27" t="s">
        <v>743</v>
      </c>
      <c r="I229" s="24">
        <v>3262.2950819672133</v>
      </c>
      <c r="J229" s="28">
        <v>0.22</v>
      </c>
      <c r="K229" s="23">
        <v>3980</v>
      </c>
      <c r="L229" s="23">
        <v>3980</v>
      </c>
      <c r="M229" s="29" t="s">
        <v>309</v>
      </c>
      <c r="N229" s="23" t="s">
        <v>990</v>
      </c>
      <c r="O229" s="29" t="s">
        <v>309</v>
      </c>
      <c r="P229" s="29"/>
      <c r="Q229" s="29"/>
      <c r="R229" s="22"/>
      <c r="S229" s="23">
        <v>1</v>
      </c>
      <c r="T229" s="22"/>
      <c r="U229" s="22"/>
      <c r="V229" s="27"/>
      <c r="W229" s="23">
        <v>100</v>
      </c>
      <c r="X229" s="23">
        <v>100</v>
      </c>
      <c r="Y229" s="23">
        <v>50</v>
      </c>
      <c r="Z229" s="22" t="s">
        <v>889</v>
      </c>
      <c r="AA229" s="22"/>
      <c r="AB229" s="23">
        <f>_xlfn.XLOOKUP(E229,nomen!A:A,nomen!C:C,0)</f>
        <v>285</v>
      </c>
      <c r="AC229" s="23"/>
      <c r="AD229" s="27"/>
      <c r="AE229" s="27"/>
      <c r="AF229" s="27" t="s">
        <v>179</v>
      </c>
      <c r="AG229" s="30">
        <v>21</v>
      </c>
      <c r="AH229" s="24"/>
      <c r="AI229" s="21"/>
    </row>
    <row r="230" spans="1:35" x14ac:dyDescent="0.3">
      <c r="A230" s="22">
        <v>218</v>
      </c>
      <c r="B230" s="23">
        <v>4652245476612</v>
      </c>
      <c r="C230" s="26" t="s">
        <v>745</v>
      </c>
      <c r="D230" s="22" t="s">
        <v>746</v>
      </c>
      <c r="E230" s="22" t="s">
        <v>746</v>
      </c>
      <c r="F230" s="27" t="s">
        <v>1944</v>
      </c>
      <c r="G230" s="27"/>
      <c r="H230" s="27" t="s">
        <v>745</v>
      </c>
      <c r="I230" s="24">
        <v>885.24590163934431</v>
      </c>
      <c r="J230" s="28">
        <v>0.22</v>
      </c>
      <c r="K230" s="23">
        <v>1080</v>
      </c>
      <c r="L230" s="23">
        <v>1080</v>
      </c>
      <c r="M230" s="29" t="s">
        <v>309</v>
      </c>
      <c r="N230" s="23" t="s">
        <v>953</v>
      </c>
      <c r="O230" s="29" t="s">
        <v>309</v>
      </c>
      <c r="P230" s="29"/>
      <c r="Q230" s="29"/>
      <c r="R230" s="22"/>
      <c r="S230" s="23">
        <v>1</v>
      </c>
      <c r="T230" s="22"/>
      <c r="U230" s="22"/>
      <c r="V230" s="27"/>
      <c r="W230" s="23" t="s">
        <v>907</v>
      </c>
      <c r="X230" s="23" t="s">
        <v>908</v>
      </c>
      <c r="Y230" s="23" t="s">
        <v>909</v>
      </c>
      <c r="Z230" s="22" t="s">
        <v>889</v>
      </c>
      <c r="AA230" s="22"/>
      <c r="AB230" s="23">
        <f>_xlfn.XLOOKUP(E230,nomen!A:A,nomen!C:C,0)</f>
        <v>57</v>
      </c>
      <c r="AC230" s="23"/>
      <c r="AD230" s="27"/>
      <c r="AE230" s="27"/>
      <c r="AF230" s="27" t="s">
        <v>179</v>
      </c>
      <c r="AG230" s="30">
        <v>0.5</v>
      </c>
      <c r="AH230" s="24"/>
      <c r="AI230" s="21"/>
    </row>
    <row r="231" spans="1:35" x14ac:dyDescent="0.3">
      <c r="A231" s="22">
        <v>219</v>
      </c>
      <c r="B231" s="23">
        <v>4673746972182</v>
      </c>
      <c r="C231" s="26" t="s">
        <v>747</v>
      </c>
      <c r="D231" s="22" t="s">
        <v>748</v>
      </c>
      <c r="E231" s="22" t="s">
        <v>748</v>
      </c>
      <c r="F231" s="27" t="s">
        <v>1944</v>
      </c>
      <c r="G231" s="27"/>
      <c r="H231" s="27" t="s">
        <v>747</v>
      </c>
      <c r="I231" s="24">
        <v>483.60655737704917</v>
      </c>
      <c r="J231" s="28">
        <v>0.22</v>
      </c>
      <c r="K231" s="23">
        <v>590</v>
      </c>
      <c r="L231" s="23">
        <v>590</v>
      </c>
      <c r="M231" s="29" t="s">
        <v>309</v>
      </c>
      <c r="N231" s="23" t="s">
        <v>896</v>
      </c>
      <c r="O231" s="29" t="s">
        <v>309</v>
      </c>
      <c r="P231" s="29"/>
      <c r="Q231" s="29"/>
      <c r="R231" s="22"/>
      <c r="S231" s="23">
        <v>1</v>
      </c>
      <c r="T231" s="22"/>
      <c r="U231" s="22"/>
      <c r="V231" s="27"/>
      <c r="W231" s="23">
        <v>100</v>
      </c>
      <c r="X231" s="23">
        <v>100</v>
      </c>
      <c r="Y231" s="23">
        <v>50</v>
      </c>
      <c r="Z231" s="22" t="s">
        <v>889</v>
      </c>
      <c r="AA231" s="22"/>
      <c r="AB231" s="23">
        <f>_xlfn.XLOOKUP(E231,nomen!A:A,nomen!C:C,0)</f>
        <v>737</v>
      </c>
      <c r="AC231" s="23"/>
      <c r="AD231" s="27"/>
      <c r="AE231" s="27"/>
      <c r="AF231" s="27" t="s">
        <v>179</v>
      </c>
      <c r="AG231" s="30">
        <v>0.1</v>
      </c>
      <c r="AH231" s="24"/>
      <c r="AI231" s="21"/>
    </row>
    <row r="232" spans="1:35" x14ac:dyDescent="0.3">
      <c r="A232" s="22">
        <v>220</v>
      </c>
      <c r="B232" s="23">
        <v>4673746972656</v>
      </c>
      <c r="C232" s="26" t="s">
        <v>749</v>
      </c>
      <c r="D232" s="22" t="s">
        <v>750</v>
      </c>
      <c r="E232" s="22" t="s">
        <v>750</v>
      </c>
      <c r="F232" s="27" t="s">
        <v>1944</v>
      </c>
      <c r="G232" s="27"/>
      <c r="H232" s="27" t="s">
        <v>749</v>
      </c>
      <c r="I232" s="24">
        <v>591.80327868852464</v>
      </c>
      <c r="J232" s="28">
        <v>0.22</v>
      </c>
      <c r="K232" s="23">
        <v>722</v>
      </c>
      <c r="L232" s="23">
        <v>722</v>
      </c>
      <c r="M232" s="29" t="s">
        <v>309</v>
      </c>
      <c r="N232" s="23" t="s">
        <v>940</v>
      </c>
      <c r="O232" s="29" t="s">
        <v>309</v>
      </c>
      <c r="P232" s="29"/>
      <c r="Q232" s="29"/>
      <c r="R232" s="22"/>
      <c r="S232" s="23">
        <v>1</v>
      </c>
      <c r="T232" s="22"/>
      <c r="U232" s="22"/>
      <c r="V232" s="27"/>
      <c r="W232" s="23">
        <v>100</v>
      </c>
      <c r="X232" s="23">
        <v>100</v>
      </c>
      <c r="Y232" s="23">
        <v>50</v>
      </c>
      <c r="Z232" s="22" t="s">
        <v>889</v>
      </c>
      <c r="AA232" s="22"/>
      <c r="AB232" s="23">
        <f>_xlfn.XLOOKUP(E232,nomen!A:A,nomen!C:C,0)</f>
        <v>41</v>
      </c>
      <c r="AC232" s="23"/>
      <c r="AD232" s="27"/>
      <c r="AE232" s="27"/>
      <c r="AF232" s="27" t="s">
        <v>179</v>
      </c>
      <c r="AG232" s="30">
        <v>0.1</v>
      </c>
      <c r="AH232" s="24"/>
      <c r="AI232" s="21"/>
    </row>
    <row r="233" spans="1:35" x14ac:dyDescent="0.3">
      <c r="A233" s="22">
        <v>221</v>
      </c>
      <c r="B233" s="23">
        <v>4673746973004</v>
      </c>
      <c r="C233" s="26" t="s">
        <v>751</v>
      </c>
      <c r="D233" s="22" t="s">
        <v>752</v>
      </c>
      <c r="E233" s="22" t="s">
        <v>752</v>
      </c>
      <c r="F233" s="27" t="s">
        <v>1944</v>
      </c>
      <c r="G233" s="27"/>
      <c r="H233" s="27" t="s">
        <v>751</v>
      </c>
      <c r="I233" s="24">
        <v>290.98360655737707</v>
      </c>
      <c r="J233" s="28">
        <v>0.22</v>
      </c>
      <c r="K233" s="23">
        <v>355</v>
      </c>
      <c r="L233" s="23">
        <v>355</v>
      </c>
      <c r="M233" s="29" t="s">
        <v>309</v>
      </c>
      <c r="N233" s="23" t="s">
        <v>932</v>
      </c>
      <c r="O233" s="29" t="s">
        <v>309</v>
      </c>
      <c r="P233" s="29"/>
      <c r="Q233" s="29"/>
      <c r="R233" s="22"/>
      <c r="S233" s="23">
        <v>1</v>
      </c>
      <c r="T233" s="22"/>
      <c r="U233" s="22"/>
      <c r="V233" s="27"/>
      <c r="W233" s="23" t="s">
        <v>893</v>
      </c>
      <c r="X233" s="23">
        <v>80</v>
      </c>
      <c r="Y233" s="23">
        <v>80</v>
      </c>
      <c r="Z233" s="22" t="s">
        <v>889</v>
      </c>
      <c r="AA233" s="22"/>
      <c r="AB233" s="23">
        <f>_xlfn.XLOOKUP(E233,nomen!A:A,nomen!C:C,0)</f>
        <v>1596</v>
      </c>
      <c r="AC233" s="23"/>
      <c r="AD233" s="27"/>
      <c r="AE233" s="27"/>
      <c r="AF233" s="27" t="s">
        <v>179</v>
      </c>
      <c r="AG233" s="30">
        <v>0.3</v>
      </c>
      <c r="AH233" s="24"/>
      <c r="AI233" s="21"/>
    </row>
    <row r="234" spans="1:35" x14ac:dyDescent="0.3">
      <c r="A234" s="22">
        <v>222</v>
      </c>
      <c r="B234" s="23">
        <v>4673746972021</v>
      </c>
      <c r="C234" s="26" t="s">
        <v>753</v>
      </c>
      <c r="D234" s="22" t="s">
        <v>754</v>
      </c>
      <c r="E234" s="22" t="s">
        <v>754</v>
      </c>
      <c r="F234" s="27" t="s">
        <v>1944</v>
      </c>
      <c r="G234" s="27"/>
      <c r="H234" s="27" t="s">
        <v>753</v>
      </c>
      <c r="I234" s="24">
        <v>353.27868852459017</v>
      </c>
      <c r="J234" s="28">
        <v>0.22</v>
      </c>
      <c r="K234" s="23">
        <v>431</v>
      </c>
      <c r="L234" s="23">
        <v>431</v>
      </c>
      <c r="M234" s="29" t="s">
        <v>309</v>
      </c>
      <c r="N234" s="23" t="s">
        <v>958</v>
      </c>
      <c r="O234" s="29" t="s">
        <v>309</v>
      </c>
      <c r="P234" s="29"/>
      <c r="Q234" s="29"/>
      <c r="R234" s="22"/>
      <c r="S234" s="23">
        <v>1</v>
      </c>
      <c r="T234" s="22"/>
      <c r="U234" s="22"/>
      <c r="V234" s="27"/>
      <c r="W234" s="23">
        <v>100</v>
      </c>
      <c r="X234" s="23">
        <v>100</v>
      </c>
      <c r="Y234" s="23">
        <v>50</v>
      </c>
      <c r="Z234" s="22" t="s">
        <v>889</v>
      </c>
      <c r="AA234" s="22"/>
      <c r="AB234" s="23">
        <f>_xlfn.XLOOKUP(E234,nomen!A:A,nomen!C:C,0)</f>
        <v>794</v>
      </c>
      <c r="AC234" s="23"/>
      <c r="AD234" s="27"/>
      <c r="AE234" s="27"/>
      <c r="AF234" s="27" t="s">
        <v>179</v>
      </c>
      <c r="AG234" s="30">
        <v>0.1</v>
      </c>
      <c r="AH234" s="24"/>
      <c r="AI234" s="21"/>
    </row>
    <row r="235" spans="1:35" x14ac:dyDescent="0.3">
      <c r="A235" s="22">
        <v>223</v>
      </c>
      <c r="B235" s="23">
        <v>4673746971383</v>
      </c>
      <c r="C235" s="26" t="s">
        <v>755</v>
      </c>
      <c r="D235" s="22" t="s">
        <v>756</v>
      </c>
      <c r="E235" s="22" t="s">
        <v>756</v>
      </c>
      <c r="F235" s="27" t="s">
        <v>1944</v>
      </c>
      <c r="G235" s="27"/>
      <c r="H235" s="27" t="s">
        <v>755</v>
      </c>
      <c r="I235" s="24">
        <v>166.39344262295083</v>
      </c>
      <c r="J235" s="28">
        <v>0.22</v>
      </c>
      <c r="K235" s="23">
        <v>203</v>
      </c>
      <c r="L235" s="23">
        <v>203</v>
      </c>
      <c r="M235" s="29" t="s">
        <v>309</v>
      </c>
      <c r="N235" s="23" t="s">
        <v>997</v>
      </c>
      <c r="O235" s="29" t="s">
        <v>309</v>
      </c>
      <c r="P235" s="29"/>
      <c r="Q235" s="29"/>
      <c r="R235" s="22"/>
      <c r="S235" s="23">
        <v>1</v>
      </c>
      <c r="T235" s="22"/>
      <c r="U235" s="22"/>
      <c r="V235" s="27"/>
      <c r="W235" s="23" t="s">
        <v>897</v>
      </c>
      <c r="X235" s="23" t="s">
        <v>897</v>
      </c>
      <c r="Y235" s="23" t="s">
        <v>903</v>
      </c>
      <c r="Z235" s="22" t="s">
        <v>889</v>
      </c>
      <c r="AA235" s="22"/>
      <c r="AB235" s="23">
        <f>_xlfn.XLOOKUP(E235,nomen!A:A,nomen!C:C,0)</f>
        <v>629</v>
      </c>
      <c r="AC235" s="23"/>
      <c r="AD235" s="27"/>
      <c r="AE235" s="27"/>
      <c r="AF235" s="27" t="s">
        <v>179</v>
      </c>
      <c r="AG235" s="30">
        <v>0.8</v>
      </c>
      <c r="AH235" s="24"/>
      <c r="AI235" s="21"/>
    </row>
    <row r="236" spans="1:35" x14ac:dyDescent="0.3">
      <c r="A236" s="22">
        <v>224</v>
      </c>
      <c r="B236" s="23">
        <v>4673746970829</v>
      </c>
      <c r="C236" s="26" t="s">
        <v>757</v>
      </c>
      <c r="D236" s="22" t="s">
        <v>758</v>
      </c>
      <c r="E236" s="22" t="s">
        <v>758</v>
      </c>
      <c r="F236" s="27" t="s">
        <v>1944</v>
      </c>
      <c r="G236" s="27"/>
      <c r="H236" s="27" t="s">
        <v>757</v>
      </c>
      <c r="I236" s="24">
        <v>715.57377049180332</v>
      </c>
      <c r="J236" s="28">
        <v>0.22</v>
      </c>
      <c r="K236" s="23">
        <v>873</v>
      </c>
      <c r="L236" s="23">
        <v>873</v>
      </c>
      <c r="M236" s="29" t="s">
        <v>309</v>
      </c>
      <c r="N236" s="23" t="s">
        <v>968</v>
      </c>
      <c r="O236" s="29" t="s">
        <v>309</v>
      </c>
      <c r="P236" s="29"/>
      <c r="Q236" s="29"/>
      <c r="R236" s="22"/>
      <c r="S236" s="23">
        <v>1</v>
      </c>
      <c r="T236" s="22"/>
      <c r="U236" s="22"/>
      <c r="V236" s="27"/>
      <c r="W236" s="23" t="s">
        <v>907</v>
      </c>
      <c r="X236" s="23" t="s">
        <v>908</v>
      </c>
      <c r="Y236" s="23" t="s">
        <v>909</v>
      </c>
      <c r="Z236" s="22" t="s">
        <v>889</v>
      </c>
      <c r="AA236" s="22"/>
      <c r="AB236" s="23">
        <f>_xlfn.XLOOKUP(E236,nomen!A:A,nomen!C:C,0)</f>
        <v>66</v>
      </c>
      <c r="AC236" s="23"/>
      <c r="AD236" s="27"/>
      <c r="AE236" s="27"/>
      <c r="AF236" s="27" t="s">
        <v>179</v>
      </c>
      <c r="AG236" s="30">
        <v>5</v>
      </c>
      <c r="AH236" s="24"/>
      <c r="AI236" s="21"/>
    </row>
    <row r="237" spans="1:35" x14ac:dyDescent="0.3">
      <c r="A237" s="22">
        <v>225</v>
      </c>
      <c r="B237" s="23">
        <v>4673746972847</v>
      </c>
      <c r="C237" s="26" t="s">
        <v>759</v>
      </c>
      <c r="D237" s="22" t="s">
        <v>760</v>
      </c>
      <c r="E237" s="22" t="s">
        <v>760</v>
      </c>
      <c r="F237" s="27" t="s">
        <v>1944</v>
      </c>
      <c r="G237" s="27"/>
      <c r="H237" s="27" t="s">
        <v>759</v>
      </c>
      <c r="I237" s="24">
        <v>755.73770491803282</v>
      </c>
      <c r="J237" s="28">
        <v>0.22</v>
      </c>
      <c r="K237" s="23">
        <v>922</v>
      </c>
      <c r="L237" s="23">
        <v>922</v>
      </c>
      <c r="M237" s="29" t="s">
        <v>309</v>
      </c>
      <c r="N237" s="23" t="s">
        <v>968</v>
      </c>
      <c r="O237" s="29" t="s">
        <v>309</v>
      </c>
      <c r="P237" s="29"/>
      <c r="Q237" s="29"/>
      <c r="R237" s="22"/>
      <c r="S237" s="23">
        <v>1</v>
      </c>
      <c r="T237" s="22"/>
      <c r="U237" s="22"/>
      <c r="V237" s="27"/>
      <c r="W237" s="23">
        <v>100</v>
      </c>
      <c r="X237" s="23">
        <v>100</v>
      </c>
      <c r="Y237" s="23">
        <v>50</v>
      </c>
      <c r="Z237" s="22" t="s">
        <v>889</v>
      </c>
      <c r="AA237" s="22"/>
      <c r="AB237" s="23">
        <f>_xlfn.XLOOKUP(E237,nomen!A:A,nomen!C:C,0)</f>
        <v>204</v>
      </c>
      <c r="AC237" s="23"/>
      <c r="AD237" s="27"/>
      <c r="AE237" s="27"/>
      <c r="AF237" s="27" t="s">
        <v>179</v>
      </c>
      <c r="AG237" s="30">
        <v>0.1</v>
      </c>
      <c r="AH237" s="24"/>
      <c r="AI237" s="21"/>
    </row>
    <row r="238" spans="1:35" x14ac:dyDescent="0.3">
      <c r="A238" s="22">
        <v>226</v>
      </c>
      <c r="B238" s="23">
        <v>4673746971833</v>
      </c>
      <c r="C238" s="26" t="s">
        <v>761</v>
      </c>
      <c r="D238" s="22" t="s">
        <v>762</v>
      </c>
      <c r="E238" s="22" t="s">
        <v>762</v>
      </c>
      <c r="F238" s="27" t="s">
        <v>1944</v>
      </c>
      <c r="G238" s="27"/>
      <c r="H238" s="27" t="s">
        <v>761</v>
      </c>
      <c r="I238" s="24">
        <v>561.47540983606564</v>
      </c>
      <c r="J238" s="28">
        <v>0.22</v>
      </c>
      <c r="K238" s="23">
        <v>685</v>
      </c>
      <c r="L238" s="23">
        <v>685</v>
      </c>
      <c r="M238" s="29" t="s">
        <v>309</v>
      </c>
      <c r="N238" s="23" t="s">
        <v>940</v>
      </c>
      <c r="O238" s="29" t="s">
        <v>309</v>
      </c>
      <c r="P238" s="29"/>
      <c r="Q238" s="29"/>
      <c r="R238" s="22"/>
      <c r="S238" s="23">
        <v>1</v>
      </c>
      <c r="T238" s="22"/>
      <c r="U238" s="22"/>
      <c r="V238" s="27"/>
      <c r="W238" s="23" t="s">
        <v>907</v>
      </c>
      <c r="X238" s="23" t="s">
        <v>908</v>
      </c>
      <c r="Y238" s="23" t="s">
        <v>909</v>
      </c>
      <c r="Z238" s="22" t="s">
        <v>889</v>
      </c>
      <c r="AA238" s="22"/>
      <c r="AB238" s="23">
        <f>_xlfn.XLOOKUP(E238,nomen!A:A,nomen!C:C,0)</f>
        <v>109</v>
      </c>
      <c r="AC238" s="23"/>
      <c r="AD238" s="27"/>
      <c r="AE238" s="27"/>
      <c r="AF238" s="27" t="s">
        <v>179</v>
      </c>
      <c r="AG238" s="30">
        <v>5</v>
      </c>
      <c r="AH238" s="24"/>
      <c r="AI238" s="21"/>
    </row>
    <row r="239" spans="1:35" x14ac:dyDescent="0.3">
      <c r="A239" s="22">
        <v>227</v>
      </c>
      <c r="B239" s="23">
        <v>4673746972670</v>
      </c>
      <c r="C239" s="26" t="s">
        <v>763</v>
      </c>
      <c r="D239" s="22" t="s">
        <v>764</v>
      </c>
      <c r="E239" s="22" t="s">
        <v>764</v>
      </c>
      <c r="F239" s="27" t="s">
        <v>1944</v>
      </c>
      <c r="G239" s="27"/>
      <c r="H239" s="27" t="s">
        <v>763</v>
      </c>
      <c r="I239" s="24">
        <v>591.80327868852464</v>
      </c>
      <c r="J239" s="28">
        <v>0.22</v>
      </c>
      <c r="K239" s="23">
        <v>722</v>
      </c>
      <c r="L239" s="23">
        <v>722</v>
      </c>
      <c r="M239" s="29" t="s">
        <v>309</v>
      </c>
      <c r="N239" s="23" t="s">
        <v>940</v>
      </c>
      <c r="O239" s="29" t="s">
        <v>309</v>
      </c>
      <c r="P239" s="29"/>
      <c r="Q239" s="29"/>
      <c r="R239" s="22"/>
      <c r="S239" s="23">
        <v>1</v>
      </c>
      <c r="T239" s="22"/>
      <c r="U239" s="22"/>
      <c r="V239" s="27"/>
      <c r="W239" s="23">
        <v>100</v>
      </c>
      <c r="X239" s="23">
        <v>100</v>
      </c>
      <c r="Y239" s="23">
        <v>50</v>
      </c>
      <c r="Z239" s="22" t="s">
        <v>889</v>
      </c>
      <c r="AA239" s="22"/>
      <c r="AB239" s="23">
        <f>_xlfn.XLOOKUP(E239,nomen!A:A,nomen!C:C,0)</f>
        <v>799</v>
      </c>
      <c r="AC239" s="23"/>
      <c r="AD239" s="27"/>
      <c r="AE239" s="27"/>
      <c r="AF239" s="27" t="s">
        <v>179</v>
      </c>
      <c r="AG239" s="30">
        <v>0.2</v>
      </c>
      <c r="AH239" s="24"/>
      <c r="AI239" s="21"/>
    </row>
    <row r="240" spans="1:35" x14ac:dyDescent="0.3">
      <c r="A240" s="22">
        <v>228</v>
      </c>
      <c r="B240" s="23">
        <v>4673746972960</v>
      </c>
      <c r="C240" s="26" t="s">
        <v>765</v>
      </c>
      <c r="D240" s="22" t="s">
        <v>766</v>
      </c>
      <c r="E240" s="22" t="s">
        <v>766</v>
      </c>
      <c r="F240" s="27" t="s">
        <v>1944</v>
      </c>
      <c r="G240" s="27"/>
      <c r="H240" s="27" t="s">
        <v>765</v>
      </c>
      <c r="I240" s="24">
        <v>232.78688524590166</v>
      </c>
      <c r="J240" s="28">
        <v>0.22</v>
      </c>
      <c r="K240" s="23">
        <v>284</v>
      </c>
      <c r="L240" s="23">
        <v>284</v>
      </c>
      <c r="M240" s="29" t="s">
        <v>309</v>
      </c>
      <c r="N240" s="23" t="s">
        <v>910</v>
      </c>
      <c r="O240" s="29" t="s">
        <v>309</v>
      </c>
      <c r="P240" s="29"/>
      <c r="Q240" s="29"/>
      <c r="R240" s="22"/>
      <c r="S240" s="23">
        <v>1</v>
      </c>
      <c r="T240" s="22"/>
      <c r="U240" s="22"/>
      <c r="V240" s="27"/>
      <c r="W240" s="23" t="s">
        <v>893</v>
      </c>
      <c r="X240" s="23">
        <v>80</v>
      </c>
      <c r="Y240" s="23">
        <v>80</v>
      </c>
      <c r="Z240" s="22" t="s">
        <v>889</v>
      </c>
      <c r="AA240" s="22"/>
      <c r="AB240" s="23">
        <f>_xlfn.XLOOKUP(E240,nomen!A:A,nomen!C:C,0)</f>
        <v>0</v>
      </c>
      <c r="AC240" s="23"/>
      <c r="AD240" s="27"/>
      <c r="AE240" s="27"/>
      <c r="AF240" s="27" t="s">
        <v>179</v>
      </c>
      <c r="AG240" s="30">
        <v>0.4</v>
      </c>
      <c r="AH240" s="24"/>
      <c r="AI240" s="21"/>
    </row>
    <row r="241" spans="1:35" x14ac:dyDescent="0.3">
      <c r="A241" s="22">
        <v>229</v>
      </c>
      <c r="B241" s="23">
        <v>4673746970331</v>
      </c>
      <c r="C241" s="26" t="s">
        <v>767</v>
      </c>
      <c r="D241" s="22" t="s">
        <v>768</v>
      </c>
      <c r="E241" s="22" t="s">
        <v>768</v>
      </c>
      <c r="F241" s="27" t="s">
        <v>1944</v>
      </c>
      <c r="G241" s="27"/>
      <c r="H241" s="27" t="s">
        <v>767</v>
      </c>
      <c r="I241" s="24">
        <v>1024.5901639344263</v>
      </c>
      <c r="J241" s="28">
        <v>0.22</v>
      </c>
      <c r="K241" s="23">
        <v>1250</v>
      </c>
      <c r="L241" s="23">
        <v>1250</v>
      </c>
      <c r="M241" s="29" t="s">
        <v>309</v>
      </c>
      <c r="N241" s="23" t="s">
        <v>949</v>
      </c>
      <c r="O241" s="29" t="s">
        <v>309</v>
      </c>
      <c r="P241" s="29"/>
      <c r="Q241" s="29"/>
      <c r="R241" s="22"/>
      <c r="S241" s="23">
        <v>1</v>
      </c>
      <c r="T241" s="22"/>
      <c r="U241" s="22"/>
      <c r="V241" s="27"/>
      <c r="W241" s="23" t="s">
        <v>907</v>
      </c>
      <c r="X241" s="23" t="s">
        <v>908</v>
      </c>
      <c r="Y241" s="23" t="s">
        <v>909</v>
      </c>
      <c r="Z241" s="22" t="s">
        <v>889</v>
      </c>
      <c r="AA241" s="22"/>
      <c r="AB241" s="23">
        <f>_xlfn.XLOOKUP(E241,nomen!A:A,nomen!C:C,0)</f>
        <v>24</v>
      </c>
      <c r="AC241" s="23"/>
      <c r="AD241" s="27"/>
      <c r="AE241" s="27"/>
      <c r="AF241" s="27" t="s">
        <v>179</v>
      </c>
      <c r="AG241" s="30">
        <v>5</v>
      </c>
      <c r="AH241" s="24"/>
      <c r="AI241" s="21"/>
    </row>
    <row r="242" spans="1:35" x14ac:dyDescent="0.3">
      <c r="A242" s="22">
        <v>230</v>
      </c>
      <c r="B242" s="23">
        <v>4673746972342</v>
      </c>
      <c r="C242" s="26" t="s">
        <v>769</v>
      </c>
      <c r="D242" s="22" t="s">
        <v>770</v>
      </c>
      <c r="E242" s="22" t="s">
        <v>770</v>
      </c>
      <c r="F242" s="27" t="s">
        <v>1944</v>
      </c>
      <c r="G242" s="27"/>
      <c r="H242" s="27" t="s">
        <v>769</v>
      </c>
      <c r="I242" s="24">
        <v>591.80327868852464</v>
      </c>
      <c r="J242" s="28">
        <v>0.22</v>
      </c>
      <c r="K242" s="23">
        <v>722</v>
      </c>
      <c r="L242" s="23">
        <v>722</v>
      </c>
      <c r="M242" s="29" t="s">
        <v>309</v>
      </c>
      <c r="N242" s="23" t="s">
        <v>940</v>
      </c>
      <c r="O242" s="29" t="s">
        <v>309</v>
      </c>
      <c r="P242" s="29"/>
      <c r="Q242" s="29"/>
      <c r="R242" s="22"/>
      <c r="S242" s="23">
        <v>1</v>
      </c>
      <c r="T242" s="22"/>
      <c r="U242" s="22"/>
      <c r="V242" s="27"/>
      <c r="W242" s="23">
        <v>100</v>
      </c>
      <c r="X242" s="23">
        <v>100</v>
      </c>
      <c r="Y242" s="23">
        <v>50</v>
      </c>
      <c r="Z242" s="22" t="s">
        <v>889</v>
      </c>
      <c r="AA242" s="22"/>
      <c r="AB242" s="23">
        <f>_xlfn.XLOOKUP(E242,nomen!A:A,nomen!C:C,0)</f>
        <v>1051</v>
      </c>
      <c r="AC242" s="23"/>
      <c r="AD242" s="27"/>
      <c r="AE242" s="27"/>
      <c r="AF242" s="27" t="s">
        <v>179</v>
      </c>
      <c r="AG242" s="30">
        <v>0.1</v>
      </c>
      <c r="AH242" s="24"/>
      <c r="AI242" s="21"/>
    </row>
    <row r="243" spans="1:35" x14ac:dyDescent="0.3">
      <c r="A243" s="22">
        <v>231</v>
      </c>
      <c r="B243" s="23">
        <v>4673746973059</v>
      </c>
      <c r="C243" s="26" t="s">
        <v>771</v>
      </c>
      <c r="D243" s="22" t="s">
        <v>772</v>
      </c>
      <c r="E243" s="22" t="s">
        <v>772</v>
      </c>
      <c r="F243" s="27" t="s">
        <v>1944</v>
      </c>
      <c r="G243" s="27"/>
      <c r="H243" s="27" t="s">
        <v>771</v>
      </c>
      <c r="I243" s="24">
        <v>4127.0491803278692</v>
      </c>
      <c r="J243" s="28">
        <v>0.22</v>
      </c>
      <c r="K243" s="23">
        <v>5035</v>
      </c>
      <c r="L243" s="23">
        <v>5035</v>
      </c>
      <c r="M243" s="29" t="s">
        <v>309</v>
      </c>
      <c r="N243" s="23" t="s">
        <v>998</v>
      </c>
      <c r="O243" s="29" t="s">
        <v>309</v>
      </c>
      <c r="P243" s="29"/>
      <c r="Q243" s="29"/>
      <c r="R243" s="22"/>
      <c r="S243" s="23">
        <v>1</v>
      </c>
      <c r="T243" s="22"/>
      <c r="U243" s="22"/>
      <c r="V243" s="27"/>
      <c r="W243" s="23">
        <v>100</v>
      </c>
      <c r="X243" s="23">
        <v>100</v>
      </c>
      <c r="Y243" s="23">
        <v>50</v>
      </c>
      <c r="Z243" s="22" t="s">
        <v>889</v>
      </c>
      <c r="AA243" s="22"/>
      <c r="AB243" s="23">
        <f>_xlfn.XLOOKUP(E243,nomen!A:A,nomen!C:C,0)</f>
        <v>83</v>
      </c>
      <c r="AC243" s="23"/>
      <c r="AD243" s="27"/>
      <c r="AE243" s="27"/>
      <c r="AF243" s="27" t="s">
        <v>179</v>
      </c>
      <c r="AG243" s="30">
        <v>0.1</v>
      </c>
      <c r="AH243" s="24"/>
      <c r="AI243" s="21"/>
    </row>
    <row r="244" spans="1:35" x14ac:dyDescent="0.3">
      <c r="A244" s="22">
        <v>233</v>
      </c>
      <c r="B244" s="23">
        <v>4673746972076</v>
      </c>
      <c r="C244" s="26" t="s">
        <v>773</v>
      </c>
      <c r="D244" s="22" t="s">
        <v>774</v>
      </c>
      <c r="E244" s="22" t="s">
        <v>774</v>
      </c>
      <c r="F244" s="27" t="s">
        <v>1944</v>
      </c>
      <c r="G244" s="27"/>
      <c r="H244" s="27" t="s">
        <v>773</v>
      </c>
      <c r="I244" s="24">
        <v>299.18032786885249</v>
      </c>
      <c r="J244" s="28">
        <v>0.22</v>
      </c>
      <c r="K244" s="23">
        <v>365</v>
      </c>
      <c r="L244" s="23">
        <v>365</v>
      </c>
      <c r="M244" s="29" t="s">
        <v>309</v>
      </c>
      <c r="N244" s="23" t="s">
        <v>906</v>
      </c>
      <c r="O244" s="29" t="s">
        <v>309</v>
      </c>
      <c r="P244" s="29"/>
      <c r="Q244" s="29"/>
      <c r="R244" s="22"/>
      <c r="S244" s="23">
        <v>1</v>
      </c>
      <c r="T244" s="22"/>
      <c r="U244" s="22"/>
      <c r="V244" s="27"/>
      <c r="W244" s="23">
        <v>100</v>
      </c>
      <c r="X244" s="23">
        <v>100</v>
      </c>
      <c r="Y244" s="23">
        <v>50</v>
      </c>
      <c r="Z244" s="22" t="s">
        <v>889</v>
      </c>
      <c r="AA244" s="22"/>
      <c r="AB244" s="23">
        <f>_xlfn.XLOOKUP(E244,nomen!A:A,nomen!C:C,0)</f>
        <v>786</v>
      </c>
      <c r="AC244" s="23"/>
      <c r="AD244" s="27"/>
      <c r="AE244" s="27"/>
      <c r="AF244" s="27" t="s">
        <v>179</v>
      </c>
      <c r="AG244" s="30">
        <v>0.2</v>
      </c>
      <c r="AH244" s="24"/>
      <c r="AI244" s="21"/>
    </row>
    <row r="245" spans="1:35" x14ac:dyDescent="0.3">
      <c r="A245" s="22">
        <v>234</v>
      </c>
      <c r="B245" s="23">
        <v>4673746973172</v>
      </c>
      <c r="C245" s="26" t="s">
        <v>775</v>
      </c>
      <c r="D245" s="22" t="s">
        <v>776</v>
      </c>
      <c r="E245" s="22" t="s">
        <v>776</v>
      </c>
      <c r="F245" s="27" t="s">
        <v>1944</v>
      </c>
      <c r="G245" s="27"/>
      <c r="H245" s="27" t="s">
        <v>775</v>
      </c>
      <c r="I245" s="24">
        <v>9807.377049180328</v>
      </c>
      <c r="J245" s="28">
        <v>0.22</v>
      </c>
      <c r="K245" s="23">
        <v>11965</v>
      </c>
      <c r="L245" s="23">
        <v>11965</v>
      </c>
      <c r="M245" s="29" t="s">
        <v>309</v>
      </c>
      <c r="N245" s="23" t="s">
        <v>977</v>
      </c>
      <c r="O245" s="29" t="s">
        <v>309</v>
      </c>
      <c r="P245" s="29"/>
      <c r="Q245" s="29"/>
      <c r="R245" s="22"/>
      <c r="S245" s="23">
        <v>1</v>
      </c>
      <c r="T245" s="22"/>
      <c r="U245" s="22"/>
      <c r="V245" s="27"/>
      <c r="W245" s="23">
        <v>100</v>
      </c>
      <c r="X245" s="23">
        <v>100</v>
      </c>
      <c r="Y245" s="23">
        <v>50</v>
      </c>
      <c r="Z245" s="22" t="s">
        <v>889</v>
      </c>
      <c r="AA245" s="22"/>
      <c r="AB245" s="23">
        <f>_xlfn.XLOOKUP(E245,nomen!A:A,nomen!C:C,0)</f>
        <v>0</v>
      </c>
      <c r="AC245" s="23"/>
      <c r="AD245" s="27"/>
      <c r="AE245" s="27"/>
      <c r="AF245" s="27" t="s">
        <v>179</v>
      </c>
      <c r="AG245" s="30">
        <v>3.5</v>
      </c>
      <c r="AH245" s="24"/>
      <c r="AI245" s="21"/>
    </row>
    <row r="246" spans="1:35" x14ac:dyDescent="0.3">
      <c r="A246" s="22">
        <v>235</v>
      </c>
      <c r="B246" s="23">
        <v>4673746972045</v>
      </c>
      <c r="C246" s="26" t="s">
        <v>777</v>
      </c>
      <c r="D246" s="22" t="s">
        <v>778</v>
      </c>
      <c r="E246" s="22" t="s">
        <v>778</v>
      </c>
      <c r="F246" s="27" t="s">
        <v>1944</v>
      </c>
      <c r="G246" s="27"/>
      <c r="H246" s="27" t="s">
        <v>777</v>
      </c>
      <c r="I246" s="24">
        <v>353.27868852459017</v>
      </c>
      <c r="J246" s="28">
        <v>0.22</v>
      </c>
      <c r="K246" s="23">
        <v>431</v>
      </c>
      <c r="L246" s="23">
        <v>431</v>
      </c>
      <c r="M246" s="29" t="s">
        <v>309</v>
      </c>
      <c r="N246" s="23" t="s">
        <v>958</v>
      </c>
      <c r="O246" s="29" t="s">
        <v>309</v>
      </c>
      <c r="P246" s="29"/>
      <c r="Q246" s="29"/>
      <c r="R246" s="22"/>
      <c r="S246" s="23">
        <v>1</v>
      </c>
      <c r="T246" s="22"/>
      <c r="U246" s="22"/>
      <c r="V246" s="27"/>
      <c r="W246" s="23">
        <v>100</v>
      </c>
      <c r="X246" s="23">
        <v>100</v>
      </c>
      <c r="Y246" s="23">
        <v>50</v>
      </c>
      <c r="Z246" s="22" t="s">
        <v>889</v>
      </c>
      <c r="AA246" s="22"/>
      <c r="AB246" s="23">
        <f>_xlfn.XLOOKUP(E246,nomen!A:A,nomen!C:C,0)</f>
        <v>1344</v>
      </c>
      <c r="AC246" s="23"/>
      <c r="AD246" s="27"/>
      <c r="AE246" s="27"/>
      <c r="AF246" s="27" t="s">
        <v>179</v>
      </c>
      <c r="AG246" s="30">
        <v>0.1</v>
      </c>
      <c r="AH246" s="24"/>
      <c r="AI246" s="21"/>
    </row>
    <row r="247" spans="1:35" x14ac:dyDescent="0.3">
      <c r="A247" s="22">
        <v>236</v>
      </c>
      <c r="B247" s="23">
        <v>4673746973189</v>
      </c>
      <c r="C247" s="26" t="s">
        <v>779</v>
      </c>
      <c r="D247" s="22" t="s">
        <v>780</v>
      </c>
      <c r="E247" s="22" t="s">
        <v>780</v>
      </c>
      <c r="F247" s="27" t="s">
        <v>1944</v>
      </c>
      <c r="G247" s="27"/>
      <c r="H247" s="27" t="s">
        <v>779</v>
      </c>
      <c r="I247" s="24">
        <v>9807.377049180328</v>
      </c>
      <c r="J247" s="28">
        <v>0.22</v>
      </c>
      <c r="K247" s="23">
        <v>11965</v>
      </c>
      <c r="L247" s="23">
        <v>11965</v>
      </c>
      <c r="M247" s="29" t="s">
        <v>309</v>
      </c>
      <c r="N247" s="23" t="s">
        <v>977</v>
      </c>
      <c r="O247" s="29" t="s">
        <v>309</v>
      </c>
      <c r="P247" s="29"/>
      <c r="Q247" s="29"/>
      <c r="R247" s="22"/>
      <c r="S247" s="23">
        <v>1</v>
      </c>
      <c r="T247" s="22"/>
      <c r="U247" s="22"/>
      <c r="V247" s="27"/>
      <c r="W247" s="23">
        <v>100</v>
      </c>
      <c r="X247" s="23">
        <v>100</v>
      </c>
      <c r="Y247" s="23">
        <v>50</v>
      </c>
      <c r="Z247" s="22" t="s">
        <v>889</v>
      </c>
      <c r="AA247" s="22"/>
      <c r="AB247" s="23">
        <f>_xlfn.XLOOKUP(E247,nomen!A:A,nomen!C:C,0)</f>
        <v>4</v>
      </c>
      <c r="AC247" s="23"/>
      <c r="AD247" s="27"/>
      <c r="AE247" s="27"/>
      <c r="AF247" s="27" t="s">
        <v>179</v>
      </c>
      <c r="AG247" s="30">
        <v>5.5</v>
      </c>
      <c r="AH247" s="24"/>
      <c r="AI247" s="21"/>
    </row>
    <row r="248" spans="1:35" x14ac:dyDescent="0.3">
      <c r="A248" s="22">
        <v>237</v>
      </c>
      <c r="B248" s="23">
        <v>4673746975039</v>
      </c>
      <c r="C248" s="26" t="s">
        <v>781</v>
      </c>
      <c r="D248" s="22" t="s">
        <v>782</v>
      </c>
      <c r="E248" s="22" t="s">
        <v>782</v>
      </c>
      <c r="F248" s="27" t="s">
        <v>1944</v>
      </c>
      <c r="G248" s="27"/>
      <c r="H248" s="27" t="s">
        <v>781</v>
      </c>
      <c r="I248" s="24">
        <v>304.09836065573774</v>
      </c>
      <c r="J248" s="28">
        <v>0.22</v>
      </c>
      <c r="K248" s="23">
        <v>371</v>
      </c>
      <c r="L248" s="23">
        <v>371</v>
      </c>
      <c r="M248" s="29" t="s">
        <v>309</v>
      </c>
      <c r="N248" s="23" t="s">
        <v>902</v>
      </c>
      <c r="O248" s="29" t="s">
        <v>309</v>
      </c>
      <c r="P248" s="29"/>
      <c r="Q248" s="29"/>
      <c r="R248" s="22"/>
      <c r="S248" s="23">
        <v>1</v>
      </c>
      <c r="T248" s="22"/>
      <c r="U248" s="22"/>
      <c r="V248" s="27"/>
      <c r="W248" s="23" t="s">
        <v>893</v>
      </c>
      <c r="X248" s="23">
        <v>80</v>
      </c>
      <c r="Y248" s="23">
        <v>80</v>
      </c>
      <c r="Z248" s="22" t="s">
        <v>889</v>
      </c>
      <c r="AA248" s="22"/>
      <c r="AB248" s="23">
        <f>_xlfn.XLOOKUP(E248,nomen!A:A,nomen!C:C,0)</f>
        <v>349</v>
      </c>
      <c r="AC248" s="23"/>
      <c r="AD248" s="27"/>
      <c r="AE248" s="27"/>
      <c r="AF248" s="27" t="s">
        <v>179</v>
      </c>
      <c r="AG248" s="30">
        <v>0.5</v>
      </c>
      <c r="AH248" s="24"/>
      <c r="AI248" s="21"/>
    </row>
    <row r="249" spans="1:35" ht="27.6" x14ac:dyDescent="0.3">
      <c r="A249" s="22">
        <v>238</v>
      </c>
      <c r="B249" s="23">
        <v>4673746972618</v>
      </c>
      <c r="C249" s="26" t="s">
        <v>783</v>
      </c>
      <c r="D249" s="22" t="s">
        <v>784</v>
      </c>
      <c r="E249" s="22" t="s">
        <v>784</v>
      </c>
      <c r="F249" s="27" t="s">
        <v>1944</v>
      </c>
      <c r="G249" s="27"/>
      <c r="H249" s="27" t="s">
        <v>783</v>
      </c>
      <c r="I249" s="24">
        <v>320.49180327868851</v>
      </c>
      <c r="J249" s="28">
        <v>0.22</v>
      </c>
      <c r="K249" s="23">
        <v>391</v>
      </c>
      <c r="L249" s="23">
        <v>391</v>
      </c>
      <c r="M249" s="29" t="s">
        <v>309</v>
      </c>
      <c r="N249" s="23" t="s">
        <v>902</v>
      </c>
      <c r="O249" s="29" t="s">
        <v>309</v>
      </c>
      <c r="P249" s="29"/>
      <c r="Q249" s="29"/>
      <c r="R249" s="22"/>
      <c r="S249" s="23">
        <v>1</v>
      </c>
      <c r="T249" s="22"/>
      <c r="U249" s="22"/>
      <c r="V249" s="27"/>
      <c r="W249" s="23">
        <v>100</v>
      </c>
      <c r="X249" s="23">
        <v>100</v>
      </c>
      <c r="Y249" s="23">
        <v>50</v>
      </c>
      <c r="Z249" s="22" t="s">
        <v>889</v>
      </c>
      <c r="AA249" s="22"/>
      <c r="AB249" s="23">
        <f>_xlfn.XLOOKUP(E249,nomen!A:A,nomen!C:C,0)</f>
        <v>1675</v>
      </c>
      <c r="AC249" s="23"/>
      <c r="AD249" s="27"/>
      <c r="AE249" s="27"/>
      <c r="AF249" s="27" t="s">
        <v>179</v>
      </c>
      <c r="AG249" s="30">
        <v>0.6</v>
      </c>
      <c r="AH249" s="24"/>
      <c r="AI249" s="21"/>
    </row>
    <row r="250" spans="1:35" x14ac:dyDescent="0.3">
      <c r="A250" s="22">
        <v>239</v>
      </c>
      <c r="B250" s="23">
        <v>4673746970614</v>
      </c>
      <c r="C250" s="26" t="s">
        <v>785</v>
      </c>
      <c r="D250" s="22" t="s">
        <v>786</v>
      </c>
      <c r="E250" s="22" t="s">
        <v>786</v>
      </c>
      <c r="F250" s="27" t="s">
        <v>1944</v>
      </c>
      <c r="G250" s="27"/>
      <c r="H250" s="27" t="s">
        <v>785</v>
      </c>
      <c r="I250" s="24">
        <v>489.34426229508199</v>
      </c>
      <c r="J250" s="28">
        <v>0.22</v>
      </c>
      <c r="K250" s="23">
        <v>597</v>
      </c>
      <c r="L250" s="23">
        <v>597</v>
      </c>
      <c r="M250" s="29" t="s">
        <v>309</v>
      </c>
      <c r="N250" s="23" t="s">
        <v>999</v>
      </c>
      <c r="O250" s="29" t="s">
        <v>309</v>
      </c>
      <c r="P250" s="29"/>
      <c r="Q250" s="29"/>
      <c r="R250" s="22"/>
      <c r="S250" s="23">
        <v>1</v>
      </c>
      <c r="T250" s="22"/>
      <c r="U250" s="22"/>
      <c r="V250" s="27"/>
      <c r="W250" s="23" t="s">
        <v>917</v>
      </c>
      <c r="X250" s="23" t="s">
        <v>917</v>
      </c>
      <c r="Y250" s="23" t="s">
        <v>918</v>
      </c>
      <c r="Z250" s="22" t="s">
        <v>889</v>
      </c>
      <c r="AA250" s="22"/>
      <c r="AB250" s="23">
        <f>_xlfn.XLOOKUP(E250,nomen!A:A,nomen!C:C,0)</f>
        <v>319</v>
      </c>
      <c r="AC250" s="23"/>
      <c r="AD250" s="27"/>
      <c r="AE250" s="27"/>
      <c r="AF250" s="27" t="s">
        <v>179</v>
      </c>
      <c r="AG250" s="30">
        <v>5</v>
      </c>
      <c r="AH250" s="24"/>
      <c r="AI250" s="21"/>
    </row>
    <row r="251" spans="1:35" x14ac:dyDescent="0.3">
      <c r="A251" s="22">
        <v>240</v>
      </c>
      <c r="B251" s="23">
        <v>4652245476124</v>
      </c>
      <c r="C251" s="26" t="s">
        <v>787</v>
      </c>
      <c r="D251" s="22" t="s">
        <v>788</v>
      </c>
      <c r="E251" s="22" t="s">
        <v>788</v>
      </c>
      <c r="F251" s="27" t="s">
        <v>1944</v>
      </c>
      <c r="G251" s="27"/>
      <c r="H251" s="27" t="s">
        <v>787</v>
      </c>
      <c r="I251" s="24">
        <v>1281.1475409836066</v>
      </c>
      <c r="J251" s="28">
        <v>0.22</v>
      </c>
      <c r="K251" s="23">
        <v>1563</v>
      </c>
      <c r="L251" s="23">
        <v>1563</v>
      </c>
      <c r="M251" s="29" t="s">
        <v>309</v>
      </c>
      <c r="N251" s="23" t="s">
        <v>986</v>
      </c>
      <c r="O251" s="29" t="s">
        <v>309</v>
      </c>
      <c r="P251" s="29"/>
      <c r="Q251" s="29"/>
      <c r="R251" s="22"/>
      <c r="S251" s="23">
        <v>1</v>
      </c>
      <c r="T251" s="22"/>
      <c r="U251" s="22"/>
      <c r="V251" s="27"/>
      <c r="W251" s="23" t="s">
        <v>907</v>
      </c>
      <c r="X251" s="23" t="s">
        <v>908</v>
      </c>
      <c r="Y251" s="23" t="s">
        <v>909</v>
      </c>
      <c r="Z251" s="22" t="s">
        <v>889</v>
      </c>
      <c r="AA251" s="22"/>
      <c r="AB251" s="23">
        <f>_xlfn.XLOOKUP(E251,nomen!A:A,nomen!C:C,0)</f>
        <v>30</v>
      </c>
      <c r="AC251" s="23"/>
      <c r="AD251" s="27"/>
      <c r="AE251" s="27"/>
      <c r="AF251" s="27" t="s">
        <v>179</v>
      </c>
      <c r="AG251" s="30">
        <v>6</v>
      </c>
      <c r="AH251" s="24"/>
      <c r="AI251" s="21"/>
    </row>
    <row r="252" spans="1:35" x14ac:dyDescent="0.3">
      <c r="A252" s="22">
        <v>241</v>
      </c>
      <c r="B252" s="23">
        <v>2037427400081</v>
      </c>
      <c r="C252" s="26" t="s">
        <v>789</v>
      </c>
      <c r="D252" s="22" t="s">
        <v>790</v>
      </c>
      <c r="E252" s="22" t="s">
        <v>790</v>
      </c>
      <c r="F252" s="27" t="s">
        <v>1944</v>
      </c>
      <c r="G252" s="27"/>
      <c r="H252" s="27" t="s">
        <v>789</v>
      </c>
      <c r="I252" s="24">
        <v>1853.2786885245903</v>
      </c>
      <c r="J252" s="28">
        <v>0.22</v>
      </c>
      <c r="K252" s="23">
        <v>2261</v>
      </c>
      <c r="L252" s="23">
        <v>2261</v>
      </c>
      <c r="M252" s="29" t="s">
        <v>309</v>
      </c>
      <c r="N252" s="23" t="s">
        <v>978</v>
      </c>
      <c r="O252" s="29" t="s">
        <v>309</v>
      </c>
      <c r="P252" s="29"/>
      <c r="Q252" s="29"/>
      <c r="R252" s="22"/>
      <c r="S252" s="23">
        <v>1</v>
      </c>
      <c r="T252" s="22"/>
      <c r="U252" s="22"/>
      <c r="V252" s="27"/>
      <c r="W252" s="23" t="s">
        <v>907</v>
      </c>
      <c r="X252" s="23" t="s">
        <v>908</v>
      </c>
      <c r="Y252" s="23" t="s">
        <v>909</v>
      </c>
      <c r="Z252" s="22" t="s">
        <v>889</v>
      </c>
      <c r="AA252" s="22"/>
      <c r="AB252" s="23">
        <f>_xlfn.XLOOKUP(E252,nomen!A:A,nomen!C:C,0)</f>
        <v>116</v>
      </c>
      <c r="AC252" s="23"/>
      <c r="AD252" s="27"/>
      <c r="AE252" s="27"/>
      <c r="AF252" s="27" t="s">
        <v>179</v>
      </c>
      <c r="AG252" s="30">
        <v>5</v>
      </c>
      <c r="AH252" s="24"/>
      <c r="AI252" s="21"/>
    </row>
    <row r="253" spans="1:35" x14ac:dyDescent="0.3">
      <c r="A253" s="22">
        <v>242</v>
      </c>
      <c r="B253" s="23">
        <v>2037427398814</v>
      </c>
      <c r="C253" s="26" t="s">
        <v>791</v>
      </c>
      <c r="D253" s="22" t="s">
        <v>792</v>
      </c>
      <c r="E253" s="22" t="s">
        <v>792</v>
      </c>
      <c r="F253" s="27" t="s">
        <v>1944</v>
      </c>
      <c r="G253" s="27"/>
      <c r="H253" s="27" t="s">
        <v>791</v>
      </c>
      <c r="I253" s="24">
        <v>1604.0983606557377</v>
      </c>
      <c r="J253" s="28">
        <v>0.22</v>
      </c>
      <c r="K253" s="23">
        <v>1957</v>
      </c>
      <c r="L253" s="23">
        <v>1957</v>
      </c>
      <c r="M253" s="29" t="s">
        <v>309</v>
      </c>
      <c r="N253" s="23" t="s">
        <v>982</v>
      </c>
      <c r="O253" s="29" t="s">
        <v>309</v>
      </c>
      <c r="P253" s="29"/>
      <c r="Q253" s="29"/>
      <c r="R253" s="22"/>
      <c r="S253" s="23">
        <v>1</v>
      </c>
      <c r="T253" s="22"/>
      <c r="U253" s="22"/>
      <c r="V253" s="27"/>
      <c r="W253" s="23" t="s">
        <v>897</v>
      </c>
      <c r="X253" s="23" t="s">
        <v>897</v>
      </c>
      <c r="Y253" s="23" t="s">
        <v>1000</v>
      </c>
      <c r="Z253" s="22" t="s">
        <v>889</v>
      </c>
      <c r="AA253" s="22"/>
      <c r="AB253" s="23">
        <f>_xlfn.XLOOKUP(E253,nomen!A:A,nomen!C:C,0)</f>
        <v>116</v>
      </c>
      <c r="AC253" s="23"/>
      <c r="AD253" s="27"/>
      <c r="AE253" s="27"/>
      <c r="AF253" s="27" t="s">
        <v>179</v>
      </c>
      <c r="AG253" s="30">
        <v>8</v>
      </c>
      <c r="AH253" s="24"/>
      <c r="AI253" s="21"/>
    </row>
    <row r="254" spans="1:35" x14ac:dyDescent="0.3">
      <c r="A254" s="22">
        <v>243</v>
      </c>
      <c r="B254" s="23">
        <v>4673746972533</v>
      </c>
      <c r="C254" s="26" t="s">
        <v>793</v>
      </c>
      <c r="D254" s="22" t="s">
        <v>794</v>
      </c>
      <c r="E254" s="22" t="s">
        <v>794</v>
      </c>
      <c r="F254" s="27" t="s">
        <v>1944</v>
      </c>
      <c r="G254" s="27"/>
      <c r="H254" s="27" t="s">
        <v>793</v>
      </c>
      <c r="I254" s="24">
        <v>98.360655737704917</v>
      </c>
      <c r="J254" s="28">
        <v>0.22</v>
      </c>
      <c r="K254" s="23">
        <v>120</v>
      </c>
      <c r="L254" s="23">
        <v>120</v>
      </c>
      <c r="M254" s="29" t="s">
        <v>309</v>
      </c>
      <c r="N254" s="23" t="s">
        <v>899</v>
      </c>
      <c r="O254" s="29" t="s">
        <v>309</v>
      </c>
      <c r="P254" s="29"/>
      <c r="Q254" s="29"/>
      <c r="R254" s="22"/>
      <c r="S254" s="23">
        <v>1</v>
      </c>
      <c r="T254" s="22"/>
      <c r="U254" s="22"/>
      <c r="V254" s="27"/>
      <c r="W254" s="23" t="s">
        <v>917</v>
      </c>
      <c r="X254" s="23" t="s">
        <v>917</v>
      </c>
      <c r="Y254" s="23" t="s">
        <v>918</v>
      </c>
      <c r="Z254" s="22" t="s">
        <v>889</v>
      </c>
      <c r="AA254" s="22"/>
      <c r="AB254" s="23">
        <f>_xlfn.XLOOKUP(E254,nomen!A:A,nomen!C:C,0)</f>
        <v>0</v>
      </c>
      <c r="AC254" s="23"/>
      <c r="AD254" s="27"/>
      <c r="AE254" s="27"/>
      <c r="AF254" s="27" t="s">
        <v>179</v>
      </c>
      <c r="AG254" s="30">
        <v>0.2</v>
      </c>
      <c r="AH254" s="24"/>
      <c r="AI254" s="21"/>
    </row>
    <row r="255" spans="1:35" x14ac:dyDescent="0.3">
      <c r="A255" s="22">
        <v>244</v>
      </c>
      <c r="B255" s="23">
        <v>2037427398333</v>
      </c>
      <c r="C255" s="26" t="s">
        <v>795</v>
      </c>
      <c r="D255" s="22" t="s">
        <v>796</v>
      </c>
      <c r="E255" s="22" t="s">
        <v>796</v>
      </c>
      <c r="F255" s="27" t="s">
        <v>1944</v>
      </c>
      <c r="G255" s="27"/>
      <c r="H255" s="27" t="s">
        <v>795</v>
      </c>
      <c r="I255" s="24">
        <v>354.09836065573774</v>
      </c>
      <c r="J255" s="28">
        <v>0.22</v>
      </c>
      <c r="K255" s="23">
        <v>432</v>
      </c>
      <c r="L255" s="23">
        <v>432</v>
      </c>
      <c r="M255" s="29" t="s">
        <v>309</v>
      </c>
      <c r="N255" s="23" t="s">
        <v>958</v>
      </c>
      <c r="O255" s="29" t="s">
        <v>309</v>
      </c>
      <c r="P255" s="29"/>
      <c r="Q255" s="29"/>
      <c r="R255" s="22"/>
      <c r="S255" s="23">
        <v>1</v>
      </c>
      <c r="T255" s="22"/>
      <c r="U255" s="22"/>
      <c r="V255" s="27"/>
      <c r="W255" s="23" t="s">
        <v>890</v>
      </c>
      <c r="X255" s="23" t="s">
        <v>895</v>
      </c>
      <c r="Y255" s="23" t="s">
        <v>890</v>
      </c>
      <c r="Z255" s="22" t="s">
        <v>889</v>
      </c>
      <c r="AA255" s="22"/>
      <c r="AB255" s="23">
        <f>_xlfn.XLOOKUP(E255,nomen!A:A,nomen!C:C,0)</f>
        <v>803</v>
      </c>
      <c r="AC255" s="23"/>
      <c r="AD255" s="27"/>
      <c r="AE255" s="27"/>
      <c r="AF255" s="27" t="s">
        <v>179</v>
      </c>
      <c r="AG255" s="30">
        <v>2.7E-2</v>
      </c>
      <c r="AH255" s="24"/>
      <c r="AI255" s="21"/>
    </row>
    <row r="256" spans="1:35" ht="14.4" customHeight="1" x14ac:dyDescent="0.3">
      <c r="A256" s="22">
        <v>245</v>
      </c>
      <c r="B256" s="23">
        <v>4673746970324</v>
      </c>
      <c r="C256" s="26" t="s">
        <v>797</v>
      </c>
      <c r="D256" s="22" t="s">
        <v>798</v>
      </c>
      <c r="E256" s="22" t="s">
        <v>798</v>
      </c>
      <c r="F256" s="27" t="s">
        <v>1944</v>
      </c>
      <c r="G256" s="27"/>
      <c r="H256" s="27" t="s">
        <v>797</v>
      </c>
      <c r="I256" s="24">
        <v>180.32786885245903</v>
      </c>
      <c r="J256" s="28">
        <v>0.22</v>
      </c>
      <c r="K256" s="23">
        <v>220</v>
      </c>
      <c r="L256" s="23">
        <v>220</v>
      </c>
      <c r="M256" s="29" t="s">
        <v>309</v>
      </c>
      <c r="N256" s="23" t="s">
        <v>904</v>
      </c>
      <c r="O256" s="29" t="s">
        <v>309</v>
      </c>
      <c r="P256" s="29"/>
      <c r="Q256" s="29"/>
      <c r="R256" s="22"/>
      <c r="S256" s="23">
        <v>1</v>
      </c>
      <c r="T256" s="22"/>
      <c r="U256" s="22"/>
      <c r="V256" s="27"/>
      <c r="W256" s="23" t="s">
        <v>893</v>
      </c>
      <c r="X256" s="23">
        <v>80</v>
      </c>
      <c r="Y256" s="23">
        <v>80</v>
      </c>
      <c r="Z256" s="22" t="s">
        <v>889</v>
      </c>
      <c r="AA256" s="22"/>
      <c r="AB256" s="23">
        <f>_xlfn.XLOOKUP(E256,nomen!A:A,nomen!C:C,0)</f>
        <v>409</v>
      </c>
      <c r="AC256" s="23"/>
      <c r="AD256" s="27"/>
      <c r="AE256" s="27"/>
      <c r="AF256" s="27" t="s">
        <v>179</v>
      </c>
      <c r="AG256" s="30">
        <v>0.4</v>
      </c>
      <c r="AH256" s="24"/>
      <c r="AI256" s="21"/>
    </row>
    <row r="257" spans="1:35" x14ac:dyDescent="0.3">
      <c r="A257" s="22">
        <v>246</v>
      </c>
      <c r="B257" s="23">
        <v>4673746972151</v>
      </c>
      <c r="C257" s="26" t="s">
        <v>799</v>
      </c>
      <c r="D257" s="22" t="s">
        <v>800</v>
      </c>
      <c r="E257" s="22" t="s">
        <v>800</v>
      </c>
      <c r="F257" s="27" t="s">
        <v>1944</v>
      </c>
      <c r="G257" s="27"/>
      <c r="H257" s="27" t="s">
        <v>799</v>
      </c>
      <c r="I257" s="24">
        <v>483.60655737704917</v>
      </c>
      <c r="J257" s="28">
        <v>0.22</v>
      </c>
      <c r="K257" s="23">
        <v>590</v>
      </c>
      <c r="L257" s="23">
        <v>590</v>
      </c>
      <c r="M257" s="29" t="s">
        <v>309</v>
      </c>
      <c r="N257" s="23" t="s">
        <v>896</v>
      </c>
      <c r="O257" s="29" t="s">
        <v>309</v>
      </c>
      <c r="P257" s="29"/>
      <c r="Q257" s="29"/>
      <c r="R257" s="22"/>
      <c r="S257" s="23">
        <v>1</v>
      </c>
      <c r="T257" s="22"/>
      <c r="U257" s="22"/>
      <c r="V257" s="27"/>
      <c r="W257" s="23">
        <v>100</v>
      </c>
      <c r="X257" s="23">
        <v>100</v>
      </c>
      <c r="Y257" s="23">
        <v>50</v>
      </c>
      <c r="Z257" s="22" t="s">
        <v>889</v>
      </c>
      <c r="AA257" s="22"/>
      <c r="AB257" s="23">
        <f>_xlfn.XLOOKUP(E257,nomen!A:A,nomen!C:C,0)</f>
        <v>169</v>
      </c>
      <c r="AC257" s="23"/>
      <c r="AD257" s="27"/>
      <c r="AE257" s="27"/>
      <c r="AF257" s="27" t="s">
        <v>179</v>
      </c>
      <c r="AG257" s="30">
        <v>0.1</v>
      </c>
      <c r="AH257" s="24"/>
      <c r="AI257" s="21"/>
    </row>
    <row r="258" spans="1:35" x14ac:dyDescent="0.3">
      <c r="A258" s="22">
        <v>247</v>
      </c>
      <c r="B258" s="23">
        <v>4673746973233</v>
      </c>
      <c r="C258" s="26" t="s">
        <v>801</v>
      </c>
      <c r="D258" s="22" t="s">
        <v>802</v>
      </c>
      <c r="E258" s="22" t="s">
        <v>802</v>
      </c>
      <c r="F258" s="27" t="s">
        <v>1944</v>
      </c>
      <c r="G258" s="27"/>
      <c r="H258" s="27" t="s">
        <v>801</v>
      </c>
      <c r="I258" s="24">
        <v>537.70491803278685</v>
      </c>
      <c r="J258" s="28">
        <v>0.22</v>
      </c>
      <c r="K258" s="23">
        <v>656</v>
      </c>
      <c r="L258" s="23">
        <v>656</v>
      </c>
      <c r="M258" s="29" t="s">
        <v>309</v>
      </c>
      <c r="N258" s="23" t="s">
        <v>944</v>
      </c>
      <c r="O258" s="29" t="s">
        <v>309</v>
      </c>
      <c r="P258" s="29"/>
      <c r="Q258" s="29"/>
      <c r="R258" s="22"/>
      <c r="S258" s="23">
        <v>1</v>
      </c>
      <c r="T258" s="22"/>
      <c r="U258" s="22"/>
      <c r="V258" s="27"/>
      <c r="W258" s="23">
        <v>100</v>
      </c>
      <c r="X258" s="23">
        <v>100</v>
      </c>
      <c r="Y258" s="23">
        <v>50</v>
      </c>
      <c r="Z258" s="22" t="s">
        <v>889</v>
      </c>
      <c r="AA258" s="22"/>
      <c r="AB258" s="23">
        <f>_xlfn.XLOOKUP(E258,nomen!A:A,nomen!C:C,0)</f>
        <v>456</v>
      </c>
      <c r="AC258" s="23"/>
      <c r="AD258" s="27"/>
      <c r="AE258" s="27"/>
      <c r="AF258" s="27" t="s">
        <v>179</v>
      </c>
      <c r="AG258" s="30">
        <v>0.3</v>
      </c>
      <c r="AH258" s="24"/>
      <c r="AI258" s="21"/>
    </row>
    <row r="259" spans="1:35" x14ac:dyDescent="0.3">
      <c r="A259" s="22">
        <v>248</v>
      </c>
      <c r="B259" s="23">
        <v>4673746970225</v>
      </c>
      <c r="C259" s="26" t="s">
        <v>803</v>
      </c>
      <c r="D259" s="22" t="s">
        <v>804</v>
      </c>
      <c r="E259" s="22" t="s">
        <v>804</v>
      </c>
      <c r="F259" s="27" t="s">
        <v>1944</v>
      </c>
      <c r="G259" s="27"/>
      <c r="H259" s="27" t="s">
        <v>803</v>
      </c>
      <c r="I259" s="24">
        <v>304.09836065573774</v>
      </c>
      <c r="J259" s="28">
        <v>0.22</v>
      </c>
      <c r="K259" s="23">
        <v>371</v>
      </c>
      <c r="L259" s="23">
        <v>371</v>
      </c>
      <c r="M259" s="29" t="s">
        <v>309</v>
      </c>
      <c r="N259" s="23" t="s">
        <v>902</v>
      </c>
      <c r="O259" s="29" t="s">
        <v>309</v>
      </c>
      <c r="P259" s="29"/>
      <c r="Q259" s="29"/>
      <c r="R259" s="22"/>
      <c r="S259" s="23">
        <v>1</v>
      </c>
      <c r="T259" s="22"/>
      <c r="U259" s="22"/>
      <c r="V259" s="27"/>
      <c r="W259" s="23" t="s">
        <v>917</v>
      </c>
      <c r="X259" s="23" t="s">
        <v>917</v>
      </c>
      <c r="Y259" s="23" t="s">
        <v>918</v>
      </c>
      <c r="Z259" s="22" t="s">
        <v>889</v>
      </c>
      <c r="AA259" s="22"/>
      <c r="AB259" s="23">
        <f>_xlfn.XLOOKUP(E259,nomen!A:A,nomen!C:C,0)</f>
        <v>0</v>
      </c>
      <c r="AC259" s="23"/>
      <c r="AD259" s="27"/>
      <c r="AE259" s="27"/>
      <c r="AF259" s="27" t="s">
        <v>179</v>
      </c>
      <c r="AG259" s="30">
        <v>0.2</v>
      </c>
      <c r="AH259" s="24"/>
      <c r="AI259" s="21"/>
    </row>
    <row r="260" spans="1:35" x14ac:dyDescent="0.3">
      <c r="A260" s="22">
        <v>249</v>
      </c>
      <c r="B260" s="23">
        <v>4673746970461</v>
      </c>
      <c r="C260" s="26" t="s">
        <v>805</v>
      </c>
      <c r="D260" s="22" t="s">
        <v>806</v>
      </c>
      <c r="E260" s="22" t="s">
        <v>806</v>
      </c>
      <c r="F260" s="27" t="s">
        <v>1944</v>
      </c>
      <c r="G260" s="27"/>
      <c r="H260" s="27" t="s">
        <v>805</v>
      </c>
      <c r="I260" s="24">
        <v>1281.1475409836066</v>
      </c>
      <c r="J260" s="28">
        <v>0.22</v>
      </c>
      <c r="K260" s="23">
        <v>1563</v>
      </c>
      <c r="L260" s="23">
        <v>1563</v>
      </c>
      <c r="M260" s="29" t="s">
        <v>309</v>
      </c>
      <c r="N260" s="23" t="s">
        <v>986</v>
      </c>
      <c r="O260" s="29" t="s">
        <v>309</v>
      </c>
      <c r="P260" s="29"/>
      <c r="Q260" s="29"/>
      <c r="R260" s="22"/>
      <c r="S260" s="23">
        <v>1</v>
      </c>
      <c r="T260" s="22"/>
      <c r="U260" s="22"/>
      <c r="V260" s="27"/>
      <c r="W260" s="23" t="s">
        <v>907</v>
      </c>
      <c r="X260" s="23" t="s">
        <v>908</v>
      </c>
      <c r="Y260" s="23" t="s">
        <v>909</v>
      </c>
      <c r="Z260" s="22" t="s">
        <v>889</v>
      </c>
      <c r="AA260" s="22"/>
      <c r="AB260" s="23">
        <f>_xlfn.XLOOKUP(E260,nomen!A:A,nomen!C:C,0)</f>
        <v>102</v>
      </c>
      <c r="AC260" s="23"/>
      <c r="AD260" s="27"/>
      <c r="AE260" s="27"/>
      <c r="AF260" s="27" t="s">
        <v>179</v>
      </c>
      <c r="AG260" s="30">
        <v>5</v>
      </c>
      <c r="AH260" s="24"/>
      <c r="AI260" s="21"/>
    </row>
    <row r="261" spans="1:35" x14ac:dyDescent="0.3">
      <c r="A261" s="22">
        <v>250</v>
      </c>
      <c r="B261" s="23">
        <v>4673746973257</v>
      </c>
      <c r="C261" s="26" t="s">
        <v>807</v>
      </c>
      <c r="D261" s="22" t="s">
        <v>808</v>
      </c>
      <c r="E261" s="22" t="s">
        <v>808</v>
      </c>
      <c r="F261" s="27" t="s">
        <v>1944</v>
      </c>
      <c r="G261" s="27"/>
      <c r="H261" s="27" t="s">
        <v>807</v>
      </c>
      <c r="I261" s="24">
        <v>212.29508196721312</v>
      </c>
      <c r="J261" s="28">
        <v>0.22</v>
      </c>
      <c r="K261" s="23">
        <v>259</v>
      </c>
      <c r="L261" s="23">
        <v>259</v>
      </c>
      <c r="M261" s="29" t="s">
        <v>309</v>
      </c>
      <c r="N261" s="23" t="s">
        <v>910</v>
      </c>
      <c r="O261" s="29" t="s">
        <v>309</v>
      </c>
      <c r="P261" s="29"/>
      <c r="Q261" s="29"/>
      <c r="R261" s="22"/>
      <c r="S261" s="23">
        <v>1</v>
      </c>
      <c r="T261" s="22"/>
      <c r="U261" s="22"/>
      <c r="V261" s="27"/>
      <c r="W261" s="23">
        <v>100</v>
      </c>
      <c r="X261" s="23">
        <v>100</v>
      </c>
      <c r="Y261" s="23">
        <v>50</v>
      </c>
      <c r="Z261" s="22" t="s">
        <v>889</v>
      </c>
      <c r="AA261" s="22"/>
      <c r="AB261" s="23">
        <f>_xlfn.XLOOKUP(E261,nomen!A:A,nomen!C:C,0)</f>
        <v>447</v>
      </c>
      <c r="AC261" s="23"/>
      <c r="AD261" s="27"/>
      <c r="AE261" s="27"/>
      <c r="AF261" s="27" t="s">
        <v>179</v>
      </c>
      <c r="AG261" s="30">
        <v>0.1</v>
      </c>
      <c r="AH261" s="24"/>
      <c r="AI261" s="21"/>
    </row>
    <row r="262" spans="1:35" x14ac:dyDescent="0.3">
      <c r="A262" s="22">
        <v>251</v>
      </c>
      <c r="B262" s="23">
        <v>4673746603345</v>
      </c>
      <c r="C262" s="26" t="s">
        <v>809</v>
      </c>
      <c r="D262" s="22" t="s">
        <v>810</v>
      </c>
      <c r="E262" s="22" t="s">
        <v>810</v>
      </c>
      <c r="F262" s="27" t="s">
        <v>1944</v>
      </c>
      <c r="G262" s="27"/>
      <c r="H262" s="27" t="s">
        <v>809</v>
      </c>
      <c r="I262" s="24">
        <v>271.31147540983608</v>
      </c>
      <c r="J262" s="28">
        <v>0.22</v>
      </c>
      <c r="K262" s="23">
        <v>331</v>
      </c>
      <c r="L262" s="23">
        <v>331</v>
      </c>
      <c r="M262" s="29" t="s">
        <v>309</v>
      </c>
      <c r="N262" s="23" t="s">
        <v>962</v>
      </c>
      <c r="O262" s="29" t="s">
        <v>309</v>
      </c>
      <c r="P262" s="29"/>
      <c r="Q262" s="29"/>
      <c r="R262" s="22"/>
      <c r="S262" s="23">
        <v>1</v>
      </c>
      <c r="T262" s="22"/>
      <c r="U262" s="22"/>
      <c r="V262" s="27"/>
      <c r="W262" s="23">
        <v>100</v>
      </c>
      <c r="X262" s="23">
        <v>100</v>
      </c>
      <c r="Y262" s="23">
        <v>50</v>
      </c>
      <c r="Z262" s="22" t="s">
        <v>889</v>
      </c>
      <c r="AA262" s="22"/>
      <c r="AB262" s="23">
        <f>_xlfn.XLOOKUP(E262,nomen!A:A,nomen!C:C,0)</f>
        <v>678</v>
      </c>
      <c r="AC262" s="23"/>
      <c r="AD262" s="27"/>
      <c r="AE262" s="27"/>
      <c r="AF262" s="27" t="s">
        <v>179</v>
      </c>
      <c r="AG262" s="30">
        <v>0.4</v>
      </c>
      <c r="AH262" s="24"/>
      <c r="AI262" s="21"/>
    </row>
    <row r="263" spans="1:35" ht="14.4" customHeight="1" x14ac:dyDescent="0.3">
      <c r="A263" s="22">
        <v>252</v>
      </c>
      <c r="B263" s="23">
        <v>4673746970911</v>
      </c>
      <c r="C263" s="26" t="s">
        <v>811</v>
      </c>
      <c r="D263" s="22" t="s">
        <v>812</v>
      </c>
      <c r="E263" s="22" t="s">
        <v>812</v>
      </c>
      <c r="F263" s="27" t="s">
        <v>1944</v>
      </c>
      <c r="G263" s="27"/>
      <c r="H263" s="27" t="s">
        <v>811</v>
      </c>
      <c r="I263" s="24">
        <v>2772.9508196721313</v>
      </c>
      <c r="J263" s="28">
        <v>0.22</v>
      </c>
      <c r="K263" s="23">
        <v>3383</v>
      </c>
      <c r="L263" s="23">
        <v>3383</v>
      </c>
      <c r="M263" s="29" t="s">
        <v>309</v>
      </c>
      <c r="N263" s="23" t="s">
        <v>1001</v>
      </c>
      <c r="O263" s="29" t="s">
        <v>309</v>
      </c>
      <c r="P263" s="29"/>
      <c r="Q263" s="29"/>
      <c r="R263" s="22"/>
      <c r="S263" s="23">
        <v>1</v>
      </c>
      <c r="T263" s="22"/>
      <c r="U263" s="22"/>
      <c r="V263" s="27"/>
      <c r="W263" s="23">
        <v>100</v>
      </c>
      <c r="X263" s="23">
        <v>100</v>
      </c>
      <c r="Y263" s="23">
        <v>50</v>
      </c>
      <c r="Z263" s="22" t="s">
        <v>889</v>
      </c>
      <c r="AA263" s="22"/>
      <c r="AB263" s="23">
        <f>_xlfn.XLOOKUP(E263,nomen!A:A,nomen!C:C,0)</f>
        <v>29</v>
      </c>
      <c r="AC263" s="23"/>
      <c r="AD263" s="27"/>
      <c r="AE263" s="27"/>
      <c r="AF263" s="27" t="s">
        <v>179</v>
      </c>
      <c r="AG263" s="30">
        <v>0.2</v>
      </c>
      <c r="AH263" s="24"/>
      <c r="AI263" s="21"/>
    </row>
    <row r="264" spans="1:35" ht="14.4" customHeight="1" x14ac:dyDescent="0.3">
      <c r="A264" s="22">
        <v>253</v>
      </c>
      <c r="B264" s="23">
        <v>4673746970294</v>
      </c>
      <c r="C264" s="26" t="s">
        <v>813</v>
      </c>
      <c r="D264" s="22" t="s">
        <v>814</v>
      </c>
      <c r="E264" s="22" t="s">
        <v>814</v>
      </c>
      <c r="F264" s="27" t="s">
        <v>1944</v>
      </c>
      <c r="G264" s="27"/>
      <c r="H264" s="27" t="s">
        <v>813</v>
      </c>
      <c r="I264" s="24">
        <v>1024.5901639344263</v>
      </c>
      <c r="J264" s="28">
        <v>0.22</v>
      </c>
      <c r="K264" s="23">
        <v>1250</v>
      </c>
      <c r="L264" s="23">
        <v>1250</v>
      </c>
      <c r="M264" s="29" t="s">
        <v>309</v>
      </c>
      <c r="N264" s="23" t="s">
        <v>949</v>
      </c>
      <c r="O264" s="29" t="s">
        <v>309</v>
      </c>
      <c r="P264" s="29"/>
      <c r="Q264" s="29"/>
      <c r="R264" s="22"/>
      <c r="S264" s="23">
        <v>1</v>
      </c>
      <c r="T264" s="22"/>
      <c r="U264" s="22"/>
      <c r="V264" s="27"/>
      <c r="W264" s="23" t="s">
        <v>907</v>
      </c>
      <c r="X264" s="23" t="s">
        <v>908</v>
      </c>
      <c r="Y264" s="23" t="s">
        <v>909</v>
      </c>
      <c r="Z264" s="22" t="s">
        <v>889</v>
      </c>
      <c r="AA264" s="22"/>
      <c r="AB264" s="23">
        <f>_xlfn.XLOOKUP(E264,nomen!A:A,nomen!C:C,0)</f>
        <v>0</v>
      </c>
      <c r="AC264" s="23"/>
      <c r="AD264" s="27"/>
      <c r="AE264" s="27"/>
      <c r="AF264" s="27" t="s">
        <v>179</v>
      </c>
      <c r="AG264" s="30">
        <v>5</v>
      </c>
      <c r="AH264" s="24"/>
      <c r="AI264" s="21"/>
    </row>
    <row r="265" spans="1:35" x14ac:dyDescent="0.3">
      <c r="A265" s="22">
        <v>254</v>
      </c>
      <c r="B265" s="23">
        <v>4673746972359</v>
      </c>
      <c r="C265" s="26" t="s">
        <v>815</v>
      </c>
      <c r="D265" s="22" t="s">
        <v>816</v>
      </c>
      <c r="E265" s="22" t="s">
        <v>816</v>
      </c>
      <c r="F265" s="27" t="s">
        <v>1944</v>
      </c>
      <c r="G265" s="27"/>
      <c r="H265" s="27" t="s">
        <v>815</v>
      </c>
      <c r="I265" s="24">
        <v>320.49180327868851</v>
      </c>
      <c r="J265" s="28">
        <v>0.22</v>
      </c>
      <c r="K265" s="23">
        <v>391</v>
      </c>
      <c r="L265" s="23">
        <v>391</v>
      </c>
      <c r="M265" s="29" t="s">
        <v>309</v>
      </c>
      <c r="N265" s="23" t="s">
        <v>902</v>
      </c>
      <c r="O265" s="29" t="s">
        <v>309</v>
      </c>
      <c r="P265" s="29"/>
      <c r="Q265" s="29"/>
      <c r="R265" s="22"/>
      <c r="S265" s="23">
        <v>1</v>
      </c>
      <c r="T265" s="22"/>
      <c r="U265" s="22"/>
      <c r="V265" s="27"/>
      <c r="W265" s="23">
        <v>100</v>
      </c>
      <c r="X265" s="23">
        <v>100</v>
      </c>
      <c r="Y265" s="23">
        <v>50</v>
      </c>
      <c r="Z265" s="22" t="s">
        <v>889</v>
      </c>
      <c r="AA265" s="22"/>
      <c r="AB265" s="23">
        <f>_xlfn.XLOOKUP(E265,nomen!A:A,nomen!C:C,0)</f>
        <v>313</v>
      </c>
      <c r="AC265" s="23"/>
      <c r="AD265" s="27"/>
      <c r="AE265" s="27"/>
      <c r="AF265" s="27" t="s">
        <v>179</v>
      </c>
      <c r="AG265" s="30">
        <v>0.1</v>
      </c>
      <c r="AH265" s="24"/>
      <c r="AI265" s="21"/>
    </row>
    <row r="266" spans="1:35" x14ac:dyDescent="0.3">
      <c r="A266" s="22">
        <v>255</v>
      </c>
      <c r="B266" s="23">
        <v>4673746971543</v>
      </c>
      <c r="C266" s="26" t="s">
        <v>817</v>
      </c>
      <c r="D266" s="22" t="s">
        <v>818</v>
      </c>
      <c r="E266" s="22" t="s">
        <v>818</v>
      </c>
      <c r="F266" s="27" t="s">
        <v>1944</v>
      </c>
      <c r="G266" s="27"/>
      <c r="H266" s="27" t="s">
        <v>817</v>
      </c>
      <c r="I266" s="24">
        <v>200.81967213114754</v>
      </c>
      <c r="J266" s="28">
        <v>0.22</v>
      </c>
      <c r="K266" s="23">
        <v>245</v>
      </c>
      <c r="L266" s="23">
        <v>245</v>
      </c>
      <c r="M266" s="29" t="s">
        <v>309</v>
      </c>
      <c r="N266" s="23" t="s">
        <v>910</v>
      </c>
      <c r="O266" s="29" t="s">
        <v>309</v>
      </c>
      <c r="P266" s="29"/>
      <c r="Q266" s="29"/>
      <c r="R266" s="22"/>
      <c r="S266" s="23">
        <v>1</v>
      </c>
      <c r="T266" s="22"/>
      <c r="U266" s="22"/>
      <c r="V266" s="27"/>
      <c r="W266" s="23" t="s">
        <v>917</v>
      </c>
      <c r="X266" s="23" t="s">
        <v>917</v>
      </c>
      <c r="Y266" s="23" t="s">
        <v>918</v>
      </c>
      <c r="Z266" s="22" t="s">
        <v>889</v>
      </c>
      <c r="AA266" s="22"/>
      <c r="AB266" s="23">
        <f>_xlfn.XLOOKUP(E266,nomen!A:A,nomen!C:C,0)</f>
        <v>366</v>
      </c>
      <c r="AC266" s="23"/>
      <c r="AD266" s="27"/>
      <c r="AE266" s="27"/>
      <c r="AF266" s="27" t="s">
        <v>179</v>
      </c>
      <c r="AG266" s="30">
        <v>5</v>
      </c>
      <c r="AH266" s="24"/>
      <c r="AI266" s="21"/>
    </row>
    <row r="267" spans="1:35" x14ac:dyDescent="0.3">
      <c r="A267" s="22">
        <v>256</v>
      </c>
      <c r="B267" s="23">
        <v>4673746972892</v>
      </c>
      <c r="C267" s="26" t="s">
        <v>819</v>
      </c>
      <c r="D267" s="22" t="s">
        <v>820</v>
      </c>
      <c r="E267" s="22" t="s">
        <v>820</v>
      </c>
      <c r="F267" s="27" t="s">
        <v>1944</v>
      </c>
      <c r="G267" s="27"/>
      <c r="H267" s="27" t="s">
        <v>819</v>
      </c>
      <c r="I267" s="24">
        <v>158.19672131147541</v>
      </c>
      <c r="J267" s="28">
        <v>0.22</v>
      </c>
      <c r="K267" s="23">
        <v>193</v>
      </c>
      <c r="L267" s="23">
        <v>193</v>
      </c>
      <c r="M267" s="29" t="s">
        <v>309</v>
      </c>
      <c r="N267" s="23" t="s">
        <v>913</v>
      </c>
      <c r="O267" s="29" t="s">
        <v>309</v>
      </c>
      <c r="P267" s="29"/>
      <c r="Q267" s="29"/>
      <c r="R267" s="22"/>
      <c r="S267" s="23">
        <v>1</v>
      </c>
      <c r="T267" s="22"/>
      <c r="U267" s="22"/>
      <c r="V267" s="27"/>
      <c r="W267" s="23">
        <v>100</v>
      </c>
      <c r="X267" s="23">
        <v>100</v>
      </c>
      <c r="Y267" s="23">
        <v>50</v>
      </c>
      <c r="Z267" s="22" t="s">
        <v>889</v>
      </c>
      <c r="AA267" s="22"/>
      <c r="AB267" s="23">
        <f>_xlfn.XLOOKUP(E267,nomen!A:A,nomen!C:C,0)</f>
        <v>941</v>
      </c>
      <c r="AC267" s="23"/>
      <c r="AD267" s="27"/>
      <c r="AE267" s="27"/>
      <c r="AF267" s="27" t="s">
        <v>179</v>
      </c>
      <c r="AG267" s="30">
        <v>0.1</v>
      </c>
      <c r="AH267" s="24"/>
      <c r="AI267" s="21"/>
    </row>
    <row r="268" spans="1:35" x14ac:dyDescent="0.3">
      <c r="A268" s="22">
        <v>257</v>
      </c>
      <c r="B268" s="23">
        <v>4673746972380</v>
      </c>
      <c r="C268" s="26" t="s">
        <v>821</v>
      </c>
      <c r="D268" s="22" t="s">
        <v>822</v>
      </c>
      <c r="E268" s="22" t="s">
        <v>822</v>
      </c>
      <c r="F268" s="27" t="s">
        <v>1944</v>
      </c>
      <c r="G268" s="27"/>
      <c r="H268" s="27" t="s">
        <v>821</v>
      </c>
      <c r="I268" s="24">
        <v>591.80327868852464</v>
      </c>
      <c r="J268" s="28">
        <v>0.22</v>
      </c>
      <c r="K268" s="23">
        <v>722</v>
      </c>
      <c r="L268" s="23">
        <v>722</v>
      </c>
      <c r="M268" s="29" t="s">
        <v>309</v>
      </c>
      <c r="N268" s="23" t="s">
        <v>940</v>
      </c>
      <c r="O268" s="29" t="s">
        <v>309</v>
      </c>
      <c r="P268" s="29"/>
      <c r="Q268" s="29"/>
      <c r="R268" s="22"/>
      <c r="S268" s="23">
        <v>1</v>
      </c>
      <c r="T268" s="22"/>
      <c r="U268" s="22"/>
      <c r="V268" s="27"/>
      <c r="W268" s="23">
        <v>100</v>
      </c>
      <c r="X268" s="23">
        <v>100</v>
      </c>
      <c r="Y268" s="23">
        <v>50</v>
      </c>
      <c r="Z268" s="22" t="s">
        <v>889</v>
      </c>
      <c r="AA268" s="22"/>
      <c r="AB268" s="23">
        <f>_xlfn.XLOOKUP(E268,nomen!A:A,nomen!C:C,0)</f>
        <v>355</v>
      </c>
      <c r="AC268" s="23"/>
      <c r="AD268" s="27"/>
      <c r="AE268" s="27"/>
      <c r="AF268" s="27" t="s">
        <v>179</v>
      </c>
      <c r="AG268" s="30">
        <v>0.2</v>
      </c>
      <c r="AH268" s="24"/>
      <c r="AI268" s="21"/>
    </row>
    <row r="269" spans="1:35" x14ac:dyDescent="0.3">
      <c r="A269" s="22">
        <v>258</v>
      </c>
      <c r="B269" s="23">
        <v>4652245476506</v>
      </c>
      <c r="C269" s="26" t="s">
        <v>823</v>
      </c>
      <c r="D269" s="22" t="s">
        <v>824</v>
      </c>
      <c r="E269" s="22" t="s">
        <v>824</v>
      </c>
      <c r="F269" s="27" t="s">
        <v>1944</v>
      </c>
      <c r="G269" s="27"/>
      <c r="H269" s="27" t="s">
        <v>823</v>
      </c>
      <c r="I269" s="24">
        <v>2372.1311475409839</v>
      </c>
      <c r="J269" s="28">
        <v>0.22</v>
      </c>
      <c r="K269" s="23">
        <v>2894</v>
      </c>
      <c r="L269" s="23">
        <v>2894</v>
      </c>
      <c r="M269" s="29" t="s">
        <v>309</v>
      </c>
      <c r="N269" s="23" t="s">
        <v>972</v>
      </c>
      <c r="O269" s="29" t="s">
        <v>309</v>
      </c>
      <c r="P269" s="29"/>
      <c r="Q269" s="29"/>
      <c r="R269" s="22"/>
      <c r="S269" s="23">
        <v>1</v>
      </c>
      <c r="T269" s="22"/>
      <c r="U269" s="22"/>
      <c r="V269" s="27"/>
      <c r="W269" s="23">
        <v>100</v>
      </c>
      <c r="X269" s="23">
        <v>100</v>
      </c>
      <c r="Y269" s="23">
        <v>50</v>
      </c>
      <c r="Z269" s="22" t="s">
        <v>889</v>
      </c>
      <c r="AA269" s="22"/>
      <c r="AB269" s="23">
        <f>_xlfn.XLOOKUP(E269,nomen!A:A,nomen!C:C,0)</f>
        <v>288</v>
      </c>
      <c r="AC269" s="23"/>
      <c r="AD269" s="27"/>
      <c r="AE269" s="27"/>
      <c r="AF269" s="27" t="s">
        <v>179</v>
      </c>
      <c r="AG269" s="30">
        <v>21</v>
      </c>
      <c r="AH269" s="24"/>
      <c r="AI269" s="21"/>
    </row>
    <row r="270" spans="1:35" x14ac:dyDescent="0.3">
      <c r="A270" s="22">
        <v>259</v>
      </c>
      <c r="B270" s="23">
        <v>4652245476360</v>
      </c>
      <c r="C270" s="26" t="s">
        <v>825</v>
      </c>
      <c r="D270" s="22" t="s">
        <v>826</v>
      </c>
      <c r="E270" s="22" t="s">
        <v>826</v>
      </c>
      <c r="F270" s="27" t="s">
        <v>1944</v>
      </c>
      <c r="G270" s="27"/>
      <c r="H270" s="27" t="s">
        <v>825</v>
      </c>
      <c r="I270" s="24">
        <v>836.88524590163934</v>
      </c>
      <c r="J270" s="28">
        <v>0.22</v>
      </c>
      <c r="K270" s="23">
        <v>1021</v>
      </c>
      <c r="L270" s="23">
        <v>1021</v>
      </c>
      <c r="M270" s="29" t="s">
        <v>309</v>
      </c>
      <c r="N270" s="23" t="s">
        <v>1002</v>
      </c>
      <c r="O270" s="29" t="s">
        <v>309</v>
      </c>
      <c r="P270" s="29"/>
      <c r="Q270" s="29"/>
      <c r="R270" s="22"/>
      <c r="S270" s="23">
        <v>1</v>
      </c>
      <c r="T270" s="22"/>
      <c r="U270" s="22"/>
      <c r="V270" s="27"/>
      <c r="W270" s="23" t="s">
        <v>907</v>
      </c>
      <c r="X270" s="23" t="s">
        <v>908</v>
      </c>
      <c r="Y270" s="23" t="s">
        <v>909</v>
      </c>
      <c r="Z270" s="22" t="s">
        <v>889</v>
      </c>
      <c r="AA270" s="22"/>
      <c r="AB270" s="23">
        <f>_xlfn.XLOOKUP(E270,nomen!A:A,nomen!C:C,0)</f>
        <v>53</v>
      </c>
      <c r="AC270" s="23"/>
      <c r="AD270" s="27"/>
      <c r="AE270" s="27"/>
      <c r="AF270" s="27" t="s">
        <v>179</v>
      </c>
      <c r="AG270" s="30">
        <v>4.0999999999999996</v>
      </c>
      <c r="AH270" s="24"/>
      <c r="AI270" s="21"/>
    </row>
    <row r="271" spans="1:35" x14ac:dyDescent="0.3">
      <c r="A271" s="22">
        <v>260</v>
      </c>
      <c r="B271" s="23">
        <v>2037427398968</v>
      </c>
      <c r="C271" s="26" t="s">
        <v>827</v>
      </c>
      <c r="D271" s="22" t="s">
        <v>828</v>
      </c>
      <c r="E271" s="22" t="s">
        <v>828</v>
      </c>
      <c r="F271" s="27" t="s">
        <v>1944</v>
      </c>
      <c r="G271" s="27"/>
      <c r="H271" s="27" t="s">
        <v>827</v>
      </c>
      <c r="I271" s="24">
        <v>13533.60655737705</v>
      </c>
      <c r="J271" s="28">
        <v>0.22</v>
      </c>
      <c r="K271" s="23">
        <v>16511</v>
      </c>
      <c r="L271" s="23">
        <v>16511</v>
      </c>
      <c r="M271" s="29" t="s">
        <v>309</v>
      </c>
      <c r="N271" s="23" t="s">
        <v>1003</v>
      </c>
      <c r="O271" s="29" t="s">
        <v>309</v>
      </c>
      <c r="P271" s="29"/>
      <c r="Q271" s="29"/>
      <c r="R271" s="22"/>
      <c r="S271" s="23">
        <v>1</v>
      </c>
      <c r="T271" s="22"/>
      <c r="U271" s="22"/>
      <c r="V271" s="27"/>
      <c r="W271" s="23" t="s">
        <v>966</v>
      </c>
      <c r="X271" s="23" t="s">
        <v>923</v>
      </c>
      <c r="Y271" s="23" t="s">
        <v>1004</v>
      </c>
      <c r="Z271" s="22" t="s">
        <v>889</v>
      </c>
      <c r="AA271" s="22"/>
      <c r="AB271" s="23">
        <f>_xlfn.XLOOKUP(E271,nomen!A:A,nomen!C:C,0)</f>
        <v>0</v>
      </c>
      <c r="AC271" s="23"/>
      <c r="AD271" s="27"/>
      <c r="AE271" s="27"/>
      <c r="AF271" s="27" t="s">
        <v>179</v>
      </c>
      <c r="AG271" s="30">
        <v>2.65</v>
      </c>
      <c r="AH271" s="24"/>
      <c r="AI271" s="21"/>
    </row>
    <row r="272" spans="1:35" x14ac:dyDescent="0.3">
      <c r="A272" s="22">
        <v>261</v>
      </c>
      <c r="B272" s="23">
        <v>4673746973028</v>
      </c>
      <c r="C272" s="26" t="s">
        <v>829</v>
      </c>
      <c r="D272" s="22" t="s">
        <v>830</v>
      </c>
      <c r="E272" s="22" t="s">
        <v>830</v>
      </c>
      <c r="F272" s="27" t="s">
        <v>1944</v>
      </c>
      <c r="G272" s="27"/>
      <c r="H272" s="27" t="s">
        <v>829</v>
      </c>
      <c r="I272" s="24">
        <v>369.67213114754099</v>
      </c>
      <c r="J272" s="28">
        <v>0.22</v>
      </c>
      <c r="K272" s="23">
        <v>451</v>
      </c>
      <c r="L272" s="23">
        <v>451</v>
      </c>
      <c r="M272" s="29" t="s">
        <v>309</v>
      </c>
      <c r="N272" s="23" t="s">
        <v>1005</v>
      </c>
      <c r="O272" s="29" t="s">
        <v>309</v>
      </c>
      <c r="P272" s="29"/>
      <c r="Q272" s="29"/>
      <c r="R272" s="22"/>
      <c r="S272" s="23">
        <v>1</v>
      </c>
      <c r="T272" s="22"/>
      <c r="U272" s="22"/>
      <c r="V272" s="27"/>
      <c r="W272" s="23" t="s">
        <v>893</v>
      </c>
      <c r="X272" s="23">
        <v>80</v>
      </c>
      <c r="Y272" s="23">
        <v>80</v>
      </c>
      <c r="Z272" s="22" t="s">
        <v>889</v>
      </c>
      <c r="AA272" s="22"/>
      <c r="AB272" s="23">
        <f>_xlfn.XLOOKUP(E272,nomen!A:A,nomen!C:C,0)</f>
        <v>2</v>
      </c>
      <c r="AC272" s="23"/>
      <c r="AD272" s="27"/>
      <c r="AE272" s="27"/>
      <c r="AF272" s="27" t="s">
        <v>179</v>
      </c>
      <c r="AG272" s="30">
        <v>0.6</v>
      </c>
      <c r="AH272" s="24"/>
      <c r="AI272" s="21"/>
    </row>
    <row r="273" spans="1:35" ht="14.4" customHeight="1" x14ac:dyDescent="0.3">
      <c r="A273" s="22">
        <v>262</v>
      </c>
      <c r="B273" s="23">
        <v>4673746972458</v>
      </c>
      <c r="C273" s="26" t="s">
        <v>831</v>
      </c>
      <c r="D273" s="22" t="s">
        <v>832</v>
      </c>
      <c r="E273" s="22" t="s">
        <v>832</v>
      </c>
      <c r="F273" s="27" t="s">
        <v>1944</v>
      </c>
      <c r="G273" s="27"/>
      <c r="H273" s="27" t="s">
        <v>831</v>
      </c>
      <c r="I273" s="24">
        <v>212.29508196721312</v>
      </c>
      <c r="J273" s="28">
        <v>0.22</v>
      </c>
      <c r="K273" s="23">
        <v>259</v>
      </c>
      <c r="L273" s="23">
        <v>259</v>
      </c>
      <c r="M273" s="29" t="s">
        <v>309</v>
      </c>
      <c r="N273" s="23" t="s">
        <v>910</v>
      </c>
      <c r="O273" s="29" t="s">
        <v>309</v>
      </c>
      <c r="P273" s="29"/>
      <c r="Q273" s="29"/>
      <c r="R273" s="22"/>
      <c r="S273" s="23">
        <v>1</v>
      </c>
      <c r="T273" s="22"/>
      <c r="U273" s="22"/>
      <c r="V273" s="27"/>
      <c r="W273" s="23">
        <v>100</v>
      </c>
      <c r="X273" s="23">
        <v>100</v>
      </c>
      <c r="Y273" s="23">
        <v>50</v>
      </c>
      <c r="Z273" s="22" t="s">
        <v>889</v>
      </c>
      <c r="AA273" s="22"/>
      <c r="AB273" s="23">
        <f>_xlfn.XLOOKUP(E273,nomen!A:A,nomen!C:C,0)</f>
        <v>322</v>
      </c>
      <c r="AC273" s="23"/>
      <c r="AD273" s="27"/>
      <c r="AE273" s="27"/>
      <c r="AF273" s="27" t="s">
        <v>179</v>
      </c>
      <c r="AG273" s="30">
        <v>0.1</v>
      </c>
      <c r="AH273" s="24"/>
      <c r="AI273" s="21"/>
    </row>
    <row r="274" spans="1:35" x14ac:dyDescent="0.3">
      <c r="A274" s="22">
        <v>263</v>
      </c>
      <c r="B274" s="23">
        <v>2037427400548</v>
      </c>
      <c r="C274" s="26" t="s">
        <v>833</v>
      </c>
      <c r="D274" s="22" t="s">
        <v>834</v>
      </c>
      <c r="E274" s="22" t="s">
        <v>834</v>
      </c>
      <c r="F274" s="27" t="s">
        <v>1944</v>
      </c>
      <c r="G274" s="27"/>
      <c r="H274" s="27" t="s">
        <v>833</v>
      </c>
      <c r="I274" s="24">
        <v>180.32786885245903</v>
      </c>
      <c r="J274" s="28">
        <v>0.22</v>
      </c>
      <c r="K274" s="23">
        <v>220</v>
      </c>
      <c r="L274" s="23">
        <v>220</v>
      </c>
      <c r="M274" s="29" t="s">
        <v>309</v>
      </c>
      <c r="N274" s="23" t="s">
        <v>904</v>
      </c>
      <c r="O274" s="29" t="s">
        <v>309</v>
      </c>
      <c r="P274" s="29"/>
      <c r="Q274" s="29"/>
      <c r="R274" s="22"/>
      <c r="S274" s="23">
        <v>1</v>
      </c>
      <c r="T274" s="22"/>
      <c r="U274" s="22"/>
      <c r="V274" s="27"/>
      <c r="W274" s="23" t="s">
        <v>893</v>
      </c>
      <c r="X274" s="23">
        <v>80</v>
      </c>
      <c r="Y274" s="23">
        <v>80</v>
      </c>
      <c r="Z274" s="22" t="s">
        <v>889</v>
      </c>
      <c r="AA274" s="22"/>
      <c r="AB274" s="23">
        <f>_xlfn.XLOOKUP(E274,nomen!A:A,nomen!C:C,0)</f>
        <v>486</v>
      </c>
      <c r="AC274" s="23"/>
      <c r="AD274" s="27"/>
      <c r="AE274" s="27"/>
      <c r="AF274" s="27" t="s">
        <v>179</v>
      </c>
      <c r="AG274" s="30">
        <v>0.42799999999999999</v>
      </c>
      <c r="AH274" s="24"/>
      <c r="AI274" s="21"/>
    </row>
    <row r="275" spans="1:35" x14ac:dyDescent="0.3">
      <c r="A275" s="22">
        <v>264</v>
      </c>
      <c r="B275" s="23">
        <v>4673746975961</v>
      </c>
      <c r="C275" s="26" t="s">
        <v>835</v>
      </c>
      <c r="D275" s="22" t="s">
        <v>836</v>
      </c>
      <c r="E275" s="22" t="s">
        <v>836</v>
      </c>
      <c r="F275" s="27" t="s">
        <v>1944</v>
      </c>
      <c r="G275" s="27"/>
      <c r="H275" s="27" t="s">
        <v>835</v>
      </c>
      <c r="I275" s="24">
        <v>172.13114754098362</v>
      </c>
      <c r="J275" s="28">
        <v>0.22</v>
      </c>
      <c r="K275" s="23">
        <v>210</v>
      </c>
      <c r="L275" s="23">
        <v>210</v>
      </c>
      <c r="M275" s="29" t="s">
        <v>309</v>
      </c>
      <c r="N275" s="23" t="s">
        <v>913</v>
      </c>
      <c r="O275" s="29" t="s">
        <v>309</v>
      </c>
      <c r="P275" s="29"/>
      <c r="Q275" s="29"/>
      <c r="R275" s="22"/>
      <c r="S275" s="23">
        <v>1</v>
      </c>
      <c r="T275" s="22"/>
      <c r="U275" s="22"/>
      <c r="V275" s="27"/>
      <c r="W275" s="23" t="s">
        <v>897</v>
      </c>
      <c r="X275" s="23" t="s">
        <v>897</v>
      </c>
      <c r="Y275" s="23" t="s">
        <v>903</v>
      </c>
      <c r="Z275" s="22" t="s">
        <v>889</v>
      </c>
      <c r="AA275" s="22"/>
      <c r="AB275" s="23">
        <f>_xlfn.XLOOKUP(E275,nomen!A:A,nomen!C:C,0)</f>
        <v>746</v>
      </c>
      <c r="AC275" s="23"/>
      <c r="AD275" s="27"/>
      <c r="AE275" s="27"/>
      <c r="AF275" s="27" t="s">
        <v>179</v>
      </c>
      <c r="AG275" s="30">
        <v>0.8</v>
      </c>
      <c r="AH275" s="24"/>
      <c r="AI275" s="21"/>
    </row>
    <row r="276" spans="1:35" x14ac:dyDescent="0.3">
      <c r="A276" s="22">
        <v>265</v>
      </c>
      <c r="B276" s="23">
        <v>4652245476162</v>
      </c>
      <c r="C276" s="26" t="s">
        <v>837</v>
      </c>
      <c r="D276" s="22" t="s">
        <v>838</v>
      </c>
      <c r="E276" s="22" t="s">
        <v>838</v>
      </c>
      <c r="F276" s="27" t="s">
        <v>1944</v>
      </c>
      <c r="G276" s="27"/>
      <c r="H276" s="27" t="s">
        <v>837</v>
      </c>
      <c r="I276" s="24">
        <v>1744.2622950819673</v>
      </c>
      <c r="J276" s="28">
        <v>0.22</v>
      </c>
      <c r="K276" s="23">
        <v>2128</v>
      </c>
      <c r="L276" s="23">
        <v>2128</v>
      </c>
      <c r="M276" s="29" t="s">
        <v>309</v>
      </c>
      <c r="N276" s="23" t="s">
        <v>996</v>
      </c>
      <c r="O276" s="29" t="s">
        <v>309</v>
      </c>
      <c r="P276" s="29"/>
      <c r="Q276" s="29"/>
      <c r="R276" s="22"/>
      <c r="S276" s="23">
        <v>1</v>
      </c>
      <c r="T276" s="22"/>
      <c r="U276" s="22"/>
      <c r="V276" s="27"/>
      <c r="W276" s="23" t="s">
        <v>907</v>
      </c>
      <c r="X276" s="23" t="s">
        <v>908</v>
      </c>
      <c r="Y276" s="23" t="s">
        <v>909</v>
      </c>
      <c r="Z276" s="22" t="s">
        <v>889</v>
      </c>
      <c r="AA276" s="22"/>
      <c r="AB276" s="23">
        <f>_xlfn.XLOOKUP(E276,nomen!A:A,nomen!C:C,0)</f>
        <v>106</v>
      </c>
      <c r="AC276" s="23"/>
      <c r="AD276" s="27"/>
      <c r="AE276" s="27"/>
      <c r="AF276" s="27" t="s">
        <v>179</v>
      </c>
      <c r="AG276" s="30">
        <v>5</v>
      </c>
      <c r="AH276" s="24"/>
      <c r="AI276" s="21"/>
    </row>
    <row r="277" spans="1:35" x14ac:dyDescent="0.3">
      <c r="A277" s="22">
        <v>266</v>
      </c>
      <c r="B277" s="23">
        <v>4673746970232</v>
      </c>
      <c r="C277" s="26" t="s">
        <v>839</v>
      </c>
      <c r="D277" s="22" t="s">
        <v>840</v>
      </c>
      <c r="E277" s="22" t="s">
        <v>840</v>
      </c>
      <c r="F277" s="27" t="s">
        <v>1944</v>
      </c>
      <c r="G277" s="27"/>
      <c r="H277" s="27" t="s">
        <v>839</v>
      </c>
      <c r="I277" s="24">
        <v>304.09836065573774</v>
      </c>
      <c r="J277" s="28">
        <v>0.22</v>
      </c>
      <c r="K277" s="23">
        <v>371</v>
      </c>
      <c r="L277" s="23">
        <v>371</v>
      </c>
      <c r="M277" s="29" t="s">
        <v>309</v>
      </c>
      <c r="N277" s="23" t="s">
        <v>902</v>
      </c>
      <c r="O277" s="29" t="s">
        <v>309</v>
      </c>
      <c r="P277" s="29"/>
      <c r="Q277" s="29"/>
      <c r="R277" s="22"/>
      <c r="S277" s="23">
        <v>1</v>
      </c>
      <c r="T277" s="22"/>
      <c r="U277" s="22"/>
      <c r="V277" s="27"/>
      <c r="W277" s="23" t="s">
        <v>917</v>
      </c>
      <c r="X277" s="23" t="s">
        <v>917</v>
      </c>
      <c r="Y277" s="23" t="s">
        <v>918</v>
      </c>
      <c r="Z277" s="22" t="s">
        <v>889</v>
      </c>
      <c r="AA277" s="22"/>
      <c r="AB277" s="23">
        <f>_xlfn.XLOOKUP(E277,nomen!A:A,nomen!C:C,0)</f>
        <v>0</v>
      </c>
      <c r="AC277" s="23"/>
      <c r="AD277" s="27"/>
      <c r="AE277" s="27"/>
      <c r="AF277" s="27" t="s">
        <v>179</v>
      </c>
      <c r="AG277" s="30">
        <v>0.2</v>
      </c>
      <c r="AH277" s="24"/>
      <c r="AI277" s="21"/>
    </row>
    <row r="278" spans="1:35" x14ac:dyDescent="0.3">
      <c r="A278" s="22">
        <v>267</v>
      </c>
      <c r="B278" s="23">
        <v>4673746972823</v>
      </c>
      <c r="C278" s="26" t="s">
        <v>841</v>
      </c>
      <c r="D278" s="22" t="s">
        <v>842</v>
      </c>
      <c r="E278" s="22" t="s">
        <v>842</v>
      </c>
      <c r="F278" s="27" t="s">
        <v>1944</v>
      </c>
      <c r="G278" s="27"/>
      <c r="H278" s="27" t="s">
        <v>841</v>
      </c>
      <c r="I278" s="24">
        <v>537.70491803278685</v>
      </c>
      <c r="J278" s="28">
        <v>0.22</v>
      </c>
      <c r="K278" s="23">
        <v>656</v>
      </c>
      <c r="L278" s="23">
        <v>656</v>
      </c>
      <c r="M278" s="29" t="s">
        <v>309</v>
      </c>
      <c r="N278" s="23" t="s">
        <v>944</v>
      </c>
      <c r="O278" s="29" t="s">
        <v>309</v>
      </c>
      <c r="P278" s="29"/>
      <c r="Q278" s="29"/>
      <c r="R278" s="22"/>
      <c r="S278" s="23">
        <v>1</v>
      </c>
      <c r="T278" s="22"/>
      <c r="U278" s="22"/>
      <c r="V278" s="27"/>
      <c r="W278" s="23">
        <v>100</v>
      </c>
      <c r="X278" s="23">
        <v>100</v>
      </c>
      <c r="Y278" s="23">
        <v>50</v>
      </c>
      <c r="Z278" s="22" t="s">
        <v>889</v>
      </c>
      <c r="AA278" s="22"/>
      <c r="AB278" s="23">
        <f>_xlfn.XLOOKUP(E278,nomen!A:A,nomen!C:C,0)</f>
        <v>0</v>
      </c>
      <c r="AC278" s="23"/>
      <c r="AD278" s="27"/>
      <c r="AE278" s="27"/>
      <c r="AF278" s="27" t="s">
        <v>179</v>
      </c>
      <c r="AG278" s="30">
        <v>0.4</v>
      </c>
      <c r="AH278" s="24"/>
      <c r="AI278" s="21"/>
    </row>
    <row r="279" spans="1:35" ht="13.8" customHeight="1" x14ac:dyDescent="0.3">
      <c r="A279" s="22">
        <v>268</v>
      </c>
      <c r="B279" s="23">
        <v>4652245476148</v>
      </c>
      <c r="C279" s="26" t="s">
        <v>843</v>
      </c>
      <c r="D279" s="22" t="s">
        <v>844</v>
      </c>
      <c r="E279" s="22" t="s">
        <v>844</v>
      </c>
      <c r="F279" s="27" t="s">
        <v>1944</v>
      </c>
      <c r="G279" s="27"/>
      <c r="H279" s="27" t="s">
        <v>843</v>
      </c>
      <c r="I279" s="24">
        <v>1281.1475409836066</v>
      </c>
      <c r="J279" s="28">
        <v>0.22</v>
      </c>
      <c r="K279" s="23">
        <v>1563</v>
      </c>
      <c r="L279" s="23">
        <v>1563</v>
      </c>
      <c r="M279" s="29" t="s">
        <v>309</v>
      </c>
      <c r="N279" s="23" t="s">
        <v>986</v>
      </c>
      <c r="O279" s="29" t="s">
        <v>309</v>
      </c>
      <c r="P279" s="29"/>
      <c r="Q279" s="29"/>
      <c r="R279" s="22"/>
      <c r="S279" s="23">
        <v>1</v>
      </c>
      <c r="T279" s="22"/>
      <c r="U279" s="22"/>
      <c r="V279" s="27"/>
      <c r="W279" s="23" t="s">
        <v>907</v>
      </c>
      <c r="X279" s="23" t="s">
        <v>908</v>
      </c>
      <c r="Y279" s="23" t="s">
        <v>909</v>
      </c>
      <c r="Z279" s="22" t="s">
        <v>889</v>
      </c>
      <c r="AA279" s="22"/>
      <c r="AB279" s="23">
        <f>_xlfn.XLOOKUP(E279,nomen!A:A,nomen!C:C,0)</f>
        <v>73</v>
      </c>
      <c r="AC279" s="23"/>
      <c r="AD279" s="27"/>
      <c r="AE279" s="27"/>
      <c r="AF279" s="27" t="s">
        <v>179</v>
      </c>
      <c r="AG279" s="30">
        <v>5</v>
      </c>
      <c r="AH279" s="24"/>
      <c r="AI279" s="21"/>
    </row>
    <row r="280" spans="1:35" x14ac:dyDescent="0.3">
      <c r="A280" s="22">
        <v>269</v>
      </c>
      <c r="B280" s="23">
        <v>4673746972441</v>
      </c>
      <c r="C280" s="26" t="s">
        <v>845</v>
      </c>
      <c r="D280" s="22" t="s">
        <v>846</v>
      </c>
      <c r="E280" s="22" t="s">
        <v>846</v>
      </c>
      <c r="F280" s="27" t="s">
        <v>1944</v>
      </c>
      <c r="G280" s="27"/>
      <c r="H280" s="27" t="s">
        <v>845</v>
      </c>
      <c r="I280" s="24">
        <v>266.39344262295083</v>
      </c>
      <c r="J280" s="28">
        <v>0.22</v>
      </c>
      <c r="K280" s="23">
        <v>325</v>
      </c>
      <c r="L280" s="23">
        <v>325</v>
      </c>
      <c r="M280" s="29" t="s">
        <v>309</v>
      </c>
      <c r="N280" s="23" t="s">
        <v>932</v>
      </c>
      <c r="O280" s="29" t="s">
        <v>309</v>
      </c>
      <c r="P280" s="29"/>
      <c r="Q280" s="29"/>
      <c r="R280" s="22"/>
      <c r="S280" s="23">
        <v>1</v>
      </c>
      <c r="T280" s="22"/>
      <c r="U280" s="22"/>
      <c r="V280" s="27"/>
      <c r="W280" s="23">
        <v>100</v>
      </c>
      <c r="X280" s="23">
        <v>100</v>
      </c>
      <c r="Y280" s="23">
        <v>50</v>
      </c>
      <c r="Z280" s="22" t="s">
        <v>889</v>
      </c>
      <c r="AA280" s="22"/>
      <c r="AB280" s="23">
        <f>_xlfn.XLOOKUP(E280,nomen!A:A,nomen!C:C,0)</f>
        <v>223</v>
      </c>
      <c r="AC280" s="23"/>
      <c r="AD280" s="27"/>
      <c r="AE280" s="27"/>
      <c r="AF280" s="27" t="s">
        <v>179</v>
      </c>
      <c r="AG280" s="30">
        <v>0.4</v>
      </c>
      <c r="AH280" s="24"/>
      <c r="AI280" s="21"/>
    </row>
    <row r="281" spans="1:35" x14ac:dyDescent="0.3">
      <c r="A281" s="22">
        <v>270</v>
      </c>
      <c r="B281" s="23">
        <v>4673746972243</v>
      </c>
      <c r="C281" s="26" t="s">
        <v>847</v>
      </c>
      <c r="D281" s="22" t="s">
        <v>848</v>
      </c>
      <c r="E281" s="22" t="s">
        <v>848</v>
      </c>
      <c r="F281" s="27" t="s">
        <v>1944</v>
      </c>
      <c r="G281" s="27"/>
      <c r="H281" s="27" t="s">
        <v>847</v>
      </c>
      <c r="I281" s="24">
        <v>353.27868852459017</v>
      </c>
      <c r="J281" s="28">
        <v>0.22</v>
      </c>
      <c r="K281" s="23">
        <v>431</v>
      </c>
      <c r="L281" s="23">
        <v>431</v>
      </c>
      <c r="M281" s="29" t="s">
        <v>309</v>
      </c>
      <c r="N281" s="23" t="s">
        <v>958</v>
      </c>
      <c r="O281" s="29" t="s">
        <v>309</v>
      </c>
      <c r="P281" s="29"/>
      <c r="Q281" s="29"/>
      <c r="R281" s="22"/>
      <c r="S281" s="23">
        <v>1</v>
      </c>
      <c r="T281" s="22"/>
      <c r="U281" s="22"/>
      <c r="V281" s="27"/>
      <c r="W281" s="23">
        <v>100</v>
      </c>
      <c r="X281" s="23">
        <v>100</v>
      </c>
      <c r="Y281" s="23">
        <v>50</v>
      </c>
      <c r="Z281" s="22" t="s">
        <v>889</v>
      </c>
      <c r="AA281" s="22"/>
      <c r="AB281" s="23">
        <f>_xlfn.XLOOKUP(E281,nomen!A:A,nomen!C:C,0)</f>
        <v>1053</v>
      </c>
      <c r="AC281" s="23"/>
      <c r="AD281" s="27"/>
      <c r="AE281" s="27"/>
      <c r="AF281" s="27" t="s">
        <v>179</v>
      </c>
      <c r="AG281" s="30">
        <v>0.2</v>
      </c>
      <c r="AH281" s="24"/>
      <c r="AI281" s="21"/>
    </row>
    <row r="282" spans="1:35" x14ac:dyDescent="0.3">
      <c r="A282" s="22">
        <v>271</v>
      </c>
      <c r="B282" s="23">
        <v>4673746972984</v>
      </c>
      <c r="C282" s="26" t="s">
        <v>849</v>
      </c>
      <c r="D282" s="22" t="s">
        <v>850</v>
      </c>
      <c r="E282" s="22" t="s">
        <v>850</v>
      </c>
      <c r="F282" s="27" t="s">
        <v>1944</v>
      </c>
      <c r="G282" s="27"/>
      <c r="H282" s="27" t="s">
        <v>849</v>
      </c>
      <c r="I282" s="24">
        <v>327.86885245901641</v>
      </c>
      <c r="J282" s="28">
        <v>0.22</v>
      </c>
      <c r="K282" s="23">
        <v>400</v>
      </c>
      <c r="L282" s="23">
        <v>400</v>
      </c>
      <c r="M282" s="29" t="s">
        <v>309</v>
      </c>
      <c r="N282" s="23" t="s">
        <v>906</v>
      </c>
      <c r="O282" s="29" t="s">
        <v>309</v>
      </c>
      <c r="P282" s="29"/>
      <c r="Q282" s="29"/>
      <c r="R282" s="22"/>
      <c r="S282" s="23">
        <v>1</v>
      </c>
      <c r="T282" s="22"/>
      <c r="U282" s="22"/>
      <c r="V282" s="27"/>
      <c r="W282" s="23" t="s">
        <v>893</v>
      </c>
      <c r="X282" s="23">
        <v>80</v>
      </c>
      <c r="Y282" s="23">
        <v>80</v>
      </c>
      <c r="Z282" s="22" t="s">
        <v>889</v>
      </c>
      <c r="AA282" s="22"/>
      <c r="AB282" s="23">
        <f>_xlfn.XLOOKUP(E282,nomen!A:A,nomen!C:C,0)</f>
        <v>1029</v>
      </c>
      <c r="AC282" s="23"/>
      <c r="AD282" s="27"/>
      <c r="AE282" s="27"/>
      <c r="AF282" s="27" t="s">
        <v>179</v>
      </c>
      <c r="AG282" s="30">
        <v>0.3</v>
      </c>
      <c r="AH282" s="24"/>
      <c r="AI282" s="21"/>
    </row>
    <row r="283" spans="1:35" x14ac:dyDescent="0.3">
      <c r="A283" s="22">
        <v>272</v>
      </c>
      <c r="B283" s="23">
        <v>4673746972250</v>
      </c>
      <c r="C283" s="26" t="s">
        <v>851</v>
      </c>
      <c r="D283" s="22" t="s">
        <v>852</v>
      </c>
      <c r="E283" s="22" t="s">
        <v>852</v>
      </c>
      <c r="F283" s="27" t="s">
        <v>1944</v>
      </c>
      <c r="G283" s="27"/>
      <c r="H283" s="27" t="s">
        <v>851</v>
      </c>
      <c r="I283" s="24">
        <v>353.27868852459017</v>
      </c>
      <c r="J283" s="28">
        <v>0.22</v>
      </c>
      <c r="K283" s="23">
        <v>431</v>
      </c>
      <c r="L283" s="23">
        <v>431</v>
      </c>
      <c r="M283" s="29" t="s">
        <v>309</v>
      </c>
      <c r="N283" s="23" t="s">
        <v>958</v>
      </c>
      <c r="O283" s="29" t="s">
        <v>309</v>
      </c>
      <c r="P283" s="29"/>
      <c r="Q283" s="29"/>
      <c r="R283" s="22"/>
      <c r="S283" s="23">
        <v>1</v>
      </c>
      <c r="T283" s="22"/>
      <c r="U283" s="22"/>
      <c r="V283" s="27"/>
      <c r="W283" s="23">
        <v>100</v>
      </c>
      <c r="X283" s="23">
        <v>100</v>
      </c>
      <c r="Y283" s="23">
        <v>50</v>
      </c>
      <c r="Z283" s="22" t="s">
        <v>889</v>
      </c>
      <c r="AA283" s="22"/>
      <c r="AB283" s="23">
        <f>_xlfn.XLOOKUP(E283,nomen!A:A,nomen!C:C,0)</f>
        <v>1195</v>
      </c>
      <c r="AC283" s="23"/>
      <c r="AD283" s="27"/>
      <c r="AE283" s="27"/>
      <c r="AF283" s="27" t="s">
        <v>179</v>
      </c>
      <c r="AG283" s="30">
        <v>0.2</v>
      </c>
      <c r="AH283" s="24"/>
      <c r="AI283" s="21"/>
    </row>
    <row r="284" spans="1:35" x14ac:dyDescent="0.3">
      <c r="A284" s="22">
        <v>273</v>
      </c>
      <c r="B284" s="23">
        <v>4673746972328</v>
      </c>
      <c r="C284" s="26" t="s">
        <v>853</v>
      </c>
      <c r="D284" s="22" t="s">
        <v>854</v>
      </c>
      <c r="E284" s="22" t="s">
        <v>854</v>
      </c>
      <c r="F284" s="27" t="s">
        <v>1944</v>
      </c>
      <c r="G284" s="27"/>
      <c r="H284" s="27" t="s">
        <v>853</v>
      </c>
      <c r="I284" s="24">
        <v>700.81967213114751</v>
      </c>
      <c r="J284" s="28">
        <v>0.22</v>
      </c>
      <c r="K284" s="23">
        <v>855</v>
      </c>
      <c r="L284" s="23">
        <v>855</v>
      </c>
      <c r="M284" s="29" t="s">
        <v>309</v>
      </c>
      <c r="N284" s="23" t="s">
        <v>992</v>
      </c>
      <c r="O284" s="29" t="s">
        <v>309</v>
      </c>
      <c r="P284" s="29"/>
      <c r="Q284" s="29"/>
      <c r="R284" s="22"/>
      <c r="S284" s="23">
        <v>1</v>
      </c>
      <c r="T284" s="22"/>
      <c r="U284" s="22"/>
      <c r="V284" s="27"/>
      <c r="W284" s="23">
        <v>100</v>
      </c>
      <c r="X284" s="23">
        <v>100</v>
      </c>
      <c r="Y284" s="23">
        <v>50</v>
      </c>
      <c r="Z284" s="22" t="s">
        <v>889</v>
      </c>
      <c r="AA284" s="22"/>
      <c r="AB284" s="23">
        <f>_xlfn.XLOOKUP(E284,nomen!A:A,nomen!C:C,0)</f>
        <v>649</v>
      </c>
      <c r="AC284" s="23"/>
      <c r="AD284" s="27"/>
      <c r="AE284" s="27"/>
      <c r="AF284" s="27" t="s">
        <v>179</v>
      </c>
      <c r="AG284" s="30">
        <v>0.1</v>
      </c>
      <c r="AH284" s="24"/>
      <c r="AI284" s="21"/>
    </row>
    <row r="285" spans="1:35" x14ac:dyDescent="0.3">
      <c r="A285" s="22">
        <v>274</v>
      </c>
      <c r="B285" s="23">
        <v>2000649175365</v>
      </c>
      <c r="C285" s="26" t="s">
        <v>855</v>
      </c>
      <c r="D285" s="22" t="s">
        <v>856</v>
      </c>
      <c r="E285" s="22" t="s">
        <v>856</v>
      </c>
      <c r="F285" s="27" t="s">
        <v>1944</v>
      </c>
      <c r="G285" s="27"/>
      <c r="H285" s="27" t="s">
        <v>855</v>
      </c>
      <c r="I285" s="24">
        <v>375.40983606557376</v>
      </c>
      <c r="J285" s="28">
        <v>0.22</v>
      </c>
      <c r="K285" s="23">
        <v>458</v>
      </c>
      <c r="L285" s="23">
        <v>458</v>
      </c>
      <c r="M285" s="29" t="s">
        <v>309</v>
      </c>
      <c r="N285" s="23" t="s">
        <v>916</v>
      </c>
      <c r="O285" s="29" t="s">
        <v>309</v>
      </c>
      <c r="P285" s="29"/>
      <c r="Q285" s="29"/>
      <c r="R285" s="22"/>
      <c r="S285" s="23">
        <v>1</v>
      </c>
      <c r="T285" s="22"/>
      <c r="U285" s="22"/>
      <c r="V285" s="27"/>
      <c r="W285" s="23">
        <v>100</v>
      </c>
      <c r="X285" s="23">
        <v>100</v>
      </c>
      <c r="Y285" s="23">
        <v>50</v>
      </c>
      <c r="Z285" s="22" t="s">
        <v>889</v>
      </c>
      <c r="AA285" s="22"/>
      <c r="AB285" s="23">
        <f>_xlfn.XLOOKUP(E285,nomen!A:A,nomen!C:C,0)</f>
        <v>73</v>
      </c>
      <c r="AC285" s="23"/>
      <c r="AD285" s="27"/>
      <c r="AE285" s="27"/>
      <c r="AF285" s="27" t="s">
        <v>179</v>
      </c>
      <c r="AG285" s="30">
        <v>0.2</v>
      </c>
      <c r="AH285" s="24"/>
      <c r="AI285" s="21"/>
    </row>
    <row r="286" spans="1:35" x14ac:dyDescent="0.3">
      <c r="A286" s="22">
        <v>275</v>
      </c>
      <c r="B286" s="23">
        <v>4673746972991</v>
      </c>
      <c r="C286" s="26" t="s">
        <v>857</v>
      </c>
      <c r="D286" s="22" t="s">
        <v>858</v>
      </c>
      <c r="E286" s="22" t="s">
        <v>858</v>
      </c>
      <c r="F286" s="27" t="s">
        <v>1944</v>
      </c>
      <c r="G286" s="27"/>
      <c r="H286" s="27" t="s">
        <v>857</v>
      </c>
      <c r="I286" s="24">
        <v>227.04918032786887</v>
      </c>
      <c r="J286" s="28">
        <v>0.22</v>
      </c>
      <c r="K286" s="23">
        <v>277</v>
      </c>
      <c r="L286" s="23">
        <v>277</v>
      </c>
      <c r="M286" s="29" t="s">
        <v>309</v>
      </c>
      <c r="N286" s="23" t="s">
        <v>926</v>
      </c>
      <c r="O286" s="29" t="s">
        <v>309</v>
      </c>
      <c r="P286" s="29"/>
      <c r="Q286" s="29"/>
      <c r="R286" s="22"/>
      <c r="S286" s="23">
        <v>1</v>
      </c>
      <c r="T286" s="22"/>
      <c r="U286" s="22"/>
      <c r="V286" s="27"/>
      <c r="W286" s="23" t="s">
        <v>893</v>
      </c>
      <c r="X286" s="23">
        <v>80</v>
      </c>
      <c r="Y286" s="23">
        <v>80</v>
      </c>
      <c r="Z286" s="22" t="s">
        <v>889</v>
      </c>
      <c r="AA286" s="22"/>
      <c r="AB286" s="23">
        <f>_xlfn.XLOOKUP(E286,nomen!A:A,nomen!C:C,0)</f>
        <v>0</v>
      </c>
      <c r="AC286" s="23"/>
      <c r="AD286" s="27"/>
      <c r="AE286" s="27"/>
      <c r="AF286" s="27" t="s">
        <v>179</v>
      </c>
      <c r="AG286" s="30">
        <v>0.3</v>
      </c>
      <c r="AH286" s="24"/>
      <c r="AI286" s="21"/>
    </row>
    <row r="287" spans="1:35" x14ac:dyDescent="0.3">
      <c r="A287" s="22">
        <v>276</v>
      </c>
      <c r="B287" s="23">
        <v>2037427399804</v>
      </c>
      <c r="C287" s="26" t="s">
        <v>859</v>
      </c>
      <c r="D287" s="22" t="s">
        <v>860</v>
      </c>
      <c r="E287" s="22" t="s">
        <v>860</v>
      </c>
      <c r="F287" s="27" t="s">
        <v>1944</v>
      </c>
      <c r="G287" s="27"/>
      <c r="H287" s="27" t="s">
        <v>859</v>
      </c>
      <c r="I287" s="24">
        <v>150</v>
      </c>
      <c r="J287" s="28">
        <v>0.22</v>
      </c>
      <c r="K287" s="23">
        <v>183</v>
      </c>
      <c r="L287" s="23">
        <v>183</v>
      </c>
      <c r="M287" s="29" t="s">
        <v>309</v>
      </c>
      <c r="N287" s="23" t="s">
        <v>913</v>
      </c>
      <c r="O287" s="29" t="s">
        <v>309</v>
      </c>
      <c r="P287" s="29"/>
      <c r="Q287" s="29"/>
      <c r="R287" s="22"/>
      <c r="S287" s="23">
        <v>1</v>
      </c>
      <c r="T287" s="22"/>
      <c r="U287" s="22"/>
      <c r="V287" s="27"/>
      <c r="W287" s="23" t="s">
        <v>897</v>
      </c>
      <c r="X287" s="23" t="s">
        <v>897</v>
      </c>
      <c r="Y287" s="23" t="s">
        <v>903</v>
      </c>
      <c r="Z287" s="22" t="s">
        <v>889</v>
      </c>
      <c r="AA287" s="22"/>
      <c r="AB287" s="23">
        <f>_xlfn.XLOOKUP(E287,nomen!A:A,nomen!C:C,0)</f>
        <v>0</v>
      </c>
      <c r="AC287" s="23"/>
      <c r="AD287" s="27"/>
      <c r="AE287" s="27"/>
      <c r="AF287" s="27" t="s">
        <v>179</v>
      </c>
      <c r="AG287" s="30">
        <v>0.75</v>
      </c>
      <c r="AH287" s="24"/>
      <c r="AI287" s="21"/>
    </row>
    <row r="288" spans="1:35" x14ac:dyDescent="0.3">
      <c r="A288" s="22">
        <v>277</v>
      </c>
      <c r="B288" s="23">
        <v>4673746972731</v>
      </c>
      <c r="C288" s="26" t="s">
        <v>861</v>
      </c>
      <c r="D288" s="22" t="s">
        <v>862</v>
      </c>
      <c r="E288" s="22" t="s">
        <v>862</v>
      </c>
      <c r="F288" s="27" t="s">
        <v>1944</v>
      </c>
      <c r="G288" s="27"/>
      <c r="H288" s="27" t="s">
        <v>861</v>
      </c>
      <c r="I288" s="24">
        <v>320.49180327868851</v>
      </c>
      <c r="J288" s="28">
        <v>0.22</v>
      </c>
      <c r="K288" s="23">
        <v>391</v>
      </c>
      <c r="L288" s="23">
        <v>391</v>
      </c>
      <c r="M288" s="29" t="s">
        <v>309</v>
      </c>
      <c r="N288" s="23" t="s">
        <v>902</v>
      </c>
      <c r="O288" s="29" t="s">
        <v>309</v>
      </c>
      <c r="P288" s="29"/>
      <c r="Q288" s="29"/>
      <c r="R288" s="22"/>
      <c r="S288" s="23">
        <v>1</v>
      </c>
      <c r="T288" s="22"/>
      <c r="U288" s="22"/>
      <c r="V288" s="27"/>
      <c r="W288" s="23">
        <v>100</v>
      </c>
      <c r="X288" s="23">
        <v>100</v>
      </c>
      <c r="Y288" s="23">
        <v>50</v>
      </c>
      <c r="Z288" s="22" t="s">
        <v>889</v>
      </c>
      <c r="AA288" s="22"/>
      <c r="AB288" s="23">
        <f>_xlfn.XLOOKUP(E288,nomen!A:A,nomen!C:C,0)</f>
        <v>340</v>
      </c>
      <c r="AC288" s="23"/>
      <c r="AD288" s="27"/>
      <c r="AE288" s="27"/>
      <c r="AF288" s="27" t="s">
        <v>179</v>
      </c>
      <c r="AG288" s="30">
        <v>0.1</v>
      </c>
      <c r="AH288" s="24"/>
      <c r="AI288" s="21"/>
    </row>
    <row r="289" spans="1:35" x14ac:dyDescent="0.3">
      <c r="A289" s="22">
        <v>278</v>
      </c>
      <c r="B289" s="23">
        <v>4673746972977</v>
      </c>
      <c r="C289" s="26" t="s">
        <v>863</v>
      </c>
      <c r="D289" s="22" t="s">
        <v>864</v>
      </c>
      <c r="E289" s="22" t="s">
        <v>864</v>
      </c>
      <c r="F289" s="27" t="s">
        <v>1944</v>
      </c>
      <c r="G289" s="27"/>
      <c r="H289" s="27" t="s">
        <v>863</v>
      </c>
      <c r="I289" s="24">
        <v>232.78688524590166</v>
      </c>
      <c r="J289" s="28">
        <v>0.22</v>
      </c>
      <c r="K289" s="23">
        <v>284</v>
      </c>
      <c r="L289" s="23">
        <v>284</v>
      </c>
      <c r="M289" s="29" t="s">
        <v>309</v>
      </c>
      <c r="N289" s="23" t="s">
        <v>910</v>
      </c>
      <c r="O289" s="29" t="s">
        <v>309</v>
      </c>
      <c r="P289" s="29"/>
      <c r="Q289" s="29"/>
      <c r="R289" s="22"/>
      <c r="S289" s="23">
        <v>1</v>
      </c>
      <c r="T289" s="22"/>
      <c r="U289" s="22"/>
      <c r="V289" s="27"/>
      <c r="W289" s="23" t="s">
        <v>893</v>
      </c>
      <c r="X289" s="23">
        <v>80</v>
      </c>
      <c r="Y289" s="23">
        <v>80</v>
      </c>
      <c r="Z289" s="22" t="s">
        <v>889</v>
      </c>
      <c r="AA289" s="22"/>
      <c r="AB289" s="23">
        <f>_xlfn.XLOOKUP(E289,nomen!A:A,nomen!C:C,0)</f>
        <v>0</v>
      </c>
      <c r="AC289" s="23"/>
      <c r="AD289" s="27"/>
      <c r="AE289" s="27"/>
      <c r="AF289" s="27" t="s">
        <v>179</v>
      </c>
      <c r="AG289" s="30">
        <v>0.5</v>
      </c>
      <c r="AH289" s="24"/>
      <c r="AI289" s="21"/>
    </row>
    <row r="290" spans="1:35" x14ac:dyDescent="0.3">
      <c r="A290" s="22">
        <v>279</v>
      </c>
      <c r="B290" s="23">
        <v>4673746970973</v>
      </c>
      <c r="C290" s="26" t="s">
        <v>865</v>
      </c>
      <c r="D290" s="22" t="s">
        <v>866</v>
      </c>
      <c r="E290" s="22" t="s">
        <v>866</v>
      </c>
      <c r="F290" s="27" t="s">
        <v>1944</v>
      </c>
      <c r="G290" s="27"/>
      <c r="H290" s="27" t="s">
        <v>865</v>
      </c>
      <c r="I290" s="24">
        <v>181.14754098360658</v>
      </c>
      <c r="J290" s="28">
        <v>0.22</v>
      </c>
      <c r="K290" s="23">
        <v>221</v>
      </c>
      <c r="L290" s="23">
        <v>221</v>
      </c>
      <c r="M290" s="29" t="s">
        <v>309</v>
      </c>
      <c r="N290" s="23" t="s">
        <v>904</v>
      </c>
      <c r="O290" s="29" t="s">
        <v>309</v>
      </c>
      <c r="P290" s="29"/>
      <c r="Q290" s="29"/>
      <c r="R290" s="22"/>
      <c r="S290" s="23">
        <v>1</v>
      </c>
      <c r="T290" s="22"/>
      <c r="U290" s="22"/>
      <c r="V290" s="27"/>
      <c r="W290" s="23" t="s">
        <v>897</v>
      </c>
      <c r="X290" s="23" t="s">
        <v>897</v>
      </c>
      <c r="Y290" s="23" t="s">
        <v>903</v>
      </c>
      <c r="Z290" s="22" t="s">
        <v>889</v>
      </c>
      <c r="AA290" s="22"/>
      <c r="AB290" s="23">
        <f>_xlfn.XLOOKUP(E290,nomen!A:A,nomen!C:C,0)</f>
        <v>692</v>
      </c>
      <c r="AC290" s="23"/>
      <c r="AD290" s="27"/>
      <c r="AE290" s="27"/>
      <c r="AF290" s="27" t="s">
        <v>179</v>
      </c>
      <c r="AG290" s="30">
        <v>0.8</v>
      </c>
      <c r="AH290" s="24"/>
      <c r="AI290" s="21"/>
    </row>
    <row r="291" spans="1:35" x14ac:dyDescent="0.3">
      <c r="A291" s="22">
        <v>280</v>
      </c>
      <c r="B291" s="23">
        <v>4673746973141</v>
      </c>
      <c r="C291" s="26" t="s">
        <v>867</v>
      </c>
      <c r="D291" s="22" t="s">
        <v>868</v>
      </c>
      <c r="E291" s="22" t="s">
        <v>868</v>
      </c>
      <c r="F291" s="27" t="s">
        <v>1944</v>
      </c>
      <c r="G291" s="27"/>
      <c r="H291" s="27" t="s">
        <v>867</v>
      </c>
      <c r="I291" s="24">
        <v>190.1639344262295</v>
      </c>
      <c r="J291" s="28">
        <v>0.22</v>
      </c>
      <c r="K291" s="23">
        <v>232</v>
      </c>
      <c r="L291" s="23">
        <v>232</v>
      </c>
      <c r="M291" s="29" t="s">
        <v>309</v>
      </c>
      <c r="N291" s="23" t="s">
        <v>904</v>
      </c>
      <c r="O291" s="29" t="s">
        <v>309</v>
      </c>
      <c r="P291" s="29"/>
      <c r="Q291" s="29"/>
      <c r="R291" s="22"/>
      <c r="S291" s="23">
        <v>1</v>
      </c>
      <c r="T291" s="22"/>
      <c r="U291" s="22"/>
      <c r="V291" s="27"/>
      <c r="W291" s="23">
        <v>100</v>
      </c>
      <c r="X291" s="23">
        <v>100</v>
      </c>
      <c r="Y291" s="23">
        <v>50</v>
      </c>
      <c r="Z291" s="22" t="s">
        <v>889</v>
      </c>
      <c r="AA291" s="22"/>
      <c r="AB291" s="23">
        <f>_xlfn.XLOOKUP(E291,nomen!A:A,nomen!C:C,0)</f>
        <v>631</v>
      </c>
      <c r="AC291" s="23"/>
      <c r="AD291" s="27"/>
      <c r="AE291" s="27"/>
      <c r="AF291" s="27" t="s">
        <v>179</v>
      </c>
      <c r="AG291" s="30">
        <v>0.1</v>
      </c>
      <c r="AH291" s="24"/>
      <c r="AI291" s="21"/>
    </row>
    <row r="292" spans="1:35" x14ac:dyDescent="0.3">
      <c r="A292" s="22">
        <v>281</v>
      </c>
      <c r="B292" s="23">
        <v>4673746972663</v>
      </c>
      <c r="C292" s="26" t="s">
        <v>869</v>
      </c>
      <c r="D292" s="22" t="s">
        <v>870</v>
      </c>
      <c r="E292" s="22" t="s">
        <v>870</v>
      </c>
      <c r="F292" s="27" t="s">
        <v>1944</v>
      </c>
      <c r="G292" s="27"/>
      <c r="H292" s="27" t="s">
        <v>869</v>
      </c>
      <c r="I292" s="24">
        <v>537.70491803278685</v>
      </c>
      <c r="J292" s="28">
        <v>0.22</v>
      </c>
      <c r="K292" s="23">
        <v>656</v>
      </c>
      <c r="L292" s="23">
        <v>656</v>
      </c>
      <c r="M292" s="29" t="s">
        <v>309</v>
      </c>
      <c r="N292" s="23" t="s">
        <v>944</v>
      </c>
      <c r="O292" s="29" t="s">
        <v>309</v>
      </c>
      <c r="P292" s="29"/>
      <c r="Q292" s="29"/>
      <c r="R292" s="22"/>
      <c r="S292" s="23">
        <v>1</v>
      </c>
      <c r="T292" s="22"/>
      <c r="U292" s="22"/>
      <c r="V292" s="27"/>
      <c r="W292" s="23">
        <v>100</v>
      </c>
      <c r="X292" s="23">
        <v>100</v>
      </c>
      <c r="Y292" s="23">
        <v>50</v>
      </c>
      <c r="Z292" s="22" t="s">
        <v>889</v>
      </c>
      <c r="AA292" s="22"/>
      <c r="AB292" s="23">
        <f>_xlfn.XLOOKUP(E292,nomen!A:A,nomen!C:C,0)</f>
        <v>394</v>
      </c>
      <c r="AC292" s="23"/>
      <c r="AD292" s="27"/>
      <c r="AE292" s="27"/>
      <c r="AF292" s="27" t="s">
        <v>179</v>
      </c>
      <c r="AG292" s="30">
        <v>0.2</v>
      </c>
      <c r="AH292" s="24"/>
      <c r="AI292" s="21"/>
    </row>
    <row r="293" spans="1:35" x14ac:dyDescent="0.3">
      <c r="A293" s="22">
        <v>282</v>
      </c>
      <c r="B293" s="23">
        <v>4673746971956</v>
      </c>
      <c r="C293" s="26" t="s">
        <v>871</v>
      </c>
      <c r="D293" s="22" t="s">
        <v>872</v>
      </c>
      <c r="E293" s="22" t="s">
        <v>872</v>
      </c>
      <c r="F293" s="27" t="s">
        <v>1944</v>
      </c>
      <c r="G293" s="27"/>
      <c r="H293" s="27" t="s">
        <v>871</v>
      </c>
      <c r="I293" s="24">
        <v>266.39344262295083</v>
      </c>
      <c r="J293" s="28">
        <v>0.22</v>
      </c>
      <c r="K293" s="23">
        <v>325</v>
      </c>
      <c r="L293" s="23">
        <v>325</v>
      </c>
      <c r="M293" s="29" t="s">
        <v>309</v>
      </c>
      <c r="N293" s="23" t="s">
        <v>932</v>
      </c>
      <c r="O293" s="29" t="s">
        <v>309</v>
      </c>
      <c r="P293" s="29"/>
      <c r="Q293" s="29"/>
      <c r="R293" s="22"/>
      <c r="S293" s="23">
        <v>1</v>
      </c>
      <c r="T293" s="22"/>
      <c r="U293" s="22"/>
      <c r="V293" s="27"/>
      <c r="W293" s="23">
        <v>100</v>
      </c>
      <c r="X293" s="23">
        <v>100</v>
      </c>
      <c r="Y293" s="23">
        <v>50</v>
      </c>
      <c r="Z293" s="22" t="s">
        <v>889</v>
      </c>
      <c r="AA293" s="22"/>
      <c r="AB293" s="23">
        <f>_xlfn.XLOOKUP(E293,nomen!A:A,nomen!C:C,0)</f>
        <v>1161</v>
      </c>
      <c r="AC293" s="23"/>
      <c r="AD293" s="27"/>
      <c r="AE293" s="27"/>
      <c r="AF293" s="27" t="s">
        <v>179</v>
      </c>
      <c r="AG293" s="30">
        <v>0.5</v>
      </c>
      <c r="AH293" s="24"/>
      <c r="AI293" s="21"/>
    </row>
    <row r="294" spans="1:35" x14ac:dyDescent="0.3">
      <c r="A294" s="22">
        <v>283</v>
      </c>
      <c r="B294" s="23">
        <v>4673746971901</v>
      </c>
      <c r="C294" s="26" t="s">
        <v>873</v>
      </c>
      <c r="D294" s="22" t="s">
        <v>874</v>
      </c>
      <c r="E294" s="22" t="s">
        <v>874</v>
      </c>
      <c r="F294" s="27" t="s">
        <v>1944</v>
      </c>
      <c r="G294" s="27"/>
      <c r="H294" s="27" t="s">
        <v>873</v>
      </c>
      <c r="I294" s="24">
        <v>98.360655737704917</v>
      </c>
      <c r="J294" s="28">
        <v>0.22</v>
      </c>
      <c r="K294" s="23">
        <v>120</v>
      </c>
      <c r="L294" s="23">
        <v>120</v>
      </c>
      <c r="M294" s="29" t="s">
        <v>309</v>
      </c>
      <c r="N294" s="23" t="s">
        <v>918</v>
      </c>
      <c r="O294" s="29" t="s">
        <v>309</v>
      </c>
      <c r="P294" s="29"/>
      <c r="Q294" s="29"/>
      <c r="R294" s="22"/>
      <c r="S294" s="23">
        <v>1</v>
      </c>
      <c r="T294" s="22"/>
      <c r="U294" s="22"/>
      <c r="V294" s="27"/>
      <c r="W294" s="23">
        <v>100</v>
      </c>
      <c r="X294" s="23">
        <v>100</v>
      </c>
      <c r="Y294" s="23">
        <v>50</v>
      </c>
      <c r="Z294" s="22" t="s">
        <v>889</v>
      </c>
      <c r="AA294" s="22"/>
      <c r="AB294" s="23">
        <f>_xlfn.XLOOKUP(E294,nomen!A:A,nomen!C:C,0)</f>
        <v>0</v>
      </c>
      <c r="AC294" s="23"/>
      <c r="AD294" s="27"/>
      <c r="AE294" s="27"/>
      <c r="AF294" s="27" t="s">
        <v>179</v>
      </c>
      <c r="AG294" s="30">
        <v>0.3</v>
      </c>
      <c r="AH294" s="24"/>
      <c r="AI294" s="21"/>
    </row>
    <row r="295" spans="1:35" x14ac:dyDescent="0.3">
      <c r="A295" s="22">
        <v>284</v>
      </c>
      <c r="B295" s="23">
        <v>4673746972908</v>
      </c>
      <c r="C295" s="26" t="s">
        <v>875</v>
      </c>
      <c r="D295" s="22" t="s">
        <v>876</v>
      </c>
      <c r="E295" s="22" t="s">
        <v>876</v>
      </c>
      <c r="F295" s="27" t="s">
        <v>1944</v>
      </c>
      <c r="G295" s="27"/>
      <c r="H295" s="27" t="s">
        <v>875</v>
      </c>
      <c r="I295" s="24">
        <v>755.73770491803282</v>
      </c>
      <c r="J295" s="28">
        <v>0.22</v>
      </c>
      <c r="K295" s="23">
        <v>922</v>
      </c>
      <c r="L295" s="23">
        <v>922</v>
      </c>
      <c r="M295" s="29" t="s">
        <v>309</v>
      </c>
      <c r="N295" s="23" t="s">
        <v>968</v>
      </c>
      <c r="O295" s="29" t="s">
        <v>309</v>
      </c>
      <c r="P295" s="29"/>
      <c r="Q295" s="29"/>
      <c r="R295" s="22"/>
      <c r="S295" s="23">
        <v>1</v>
      </c>
      <c r="T295" s="22"/>
      <c r="U295" s="22"/>
      <c r="V295" s="27"/>
      <c r="W295" s="23">
        <v>100</v>
      </c>
      <c r="X295" s="23">
        <v>100</v>
      </c>
      <c r="Y295" s="23">
        <v>50</v>
      </c>
      <c r="Z295" s="22" t="s">
        <v>889</v>
      </c>
      <c r="AA295" s="22"/>
      <c r="AB295" s="23">
        <f>_xlfn.XLOOKUP(E295,nomen!A:A,nomen!C:C,0)</f>
        <v>337</v>
      </c>
      <c r="AC295" s="23"/>
      <c r="AD295" s="27"/>
      <c r="AE295" s="27"/>
      <c r="AF295" s="27" t="s">
        <v>179</v>
      </c>
      <c r="AG295" s="30">
        <v>1</v>
      </c>
      <c r="AH295" s="24"/>
      <c r="AI295" s="21"/>
    </row>
    <row r="296" spans="1:35" x14ac:dyDescent="0.3">
      <c r="A296" s="22">
        <v>285</v>
      </c>
      <c r="B296" s="23">
        <v>4673746972595</v>
      </c>
      <c r="C296" s="26" t="s">
        <v>877</v>
      </c>
      <c r="D296" s="22" t="s">
        <v>878</v>
      </c>
      <c r="E296" s="22" t="s">
        <v>878</v>
      </c>
      <c r="F296" s="27" t="s">
        <v>1944</v>
      </c>
      <c r="G296" s="27"/>
      <c r="H296" s="27" t="s">
        <v>877</v>
      </c>
      <c r="I296" s="24">
        <v>1178.688524590164</v>
      </c>
      <c r="J296" s="28">
        <v>0.22</v>
      </c>
      <c r="K296" s="23">
        <v>1438</v>
      </c>
      <c r="L296" s="23">
        <v>1438</v>
      </c>
      <c r="M296" s="29" t="s">
        <v>309</v>
      </c>
      <c r="N296" s="23" t="s">
        <v>991</v>
      </c>
      <c r="O296" s="29" t="s">
        <v>309</v>
      </c>
      <c r="P296" s="29"/>
      <c r="Q296" s="29"/>
      <c r="R296" s="22"/>
      <c r="S296" s="23">
        <v>1</v>
      </c>
      <c r="T296" s="22"/>
      <c r="U296" s="22"/>
      <c r="V296" s="27"/>
      <c r="W296" s="23" t="s">
        <v>907</v>
      </c>
      <c r="X296" s="23" t="s">
        <v>908</v>
      </c>
      <c r="Y296" s="23" t="s">
        <v>909</v>
      </c>
      <c r="Z296" s="22" t="s">
        <v>889</v>
      </c>
      <c r="AA296" s="22"/>
      <c r="AB296" s="23">
        <f>_xlfn.XLOOKUP(E296,nomen!A:A,nomen!C:C,0)</f>
        <v>69</v>
      </c>
      <c r="AC296" s="23"/>
      <c r="AD296" s="27"/>
      <c r="AE296" s="27"/>
      <c r="AF296" s="27" t="s">
        <v>179</v>
      </c>
      <c r="AG296" s="30">
        <v>5</v>
      </c>
      <c r="AH296" s="24"/>
      <c r="AI296" s="21"/>
    </row>
    <row r="297" spans="1:35" x14ac:dyDescent="0.3">
      <c r="A297" s="22">
        <v>286</v>
      </c>
      <c r="B297" s="23">
        <v>4673746972137</v>
      </c>
      <c r="C297" s="26" t="s">
        <v>879</v>
      </c>
      <c r="D297" s="22" t="s">
        <v>880</v>
      </c>
      <c r="E297" s="22" t="s">
        <v>880</v>
      </c>
      <c r="F297" s="27" t="s">
        <v>1944</v>
      </c>
      <c r="G297" s="27"/>
      <c r="H297" s="27" t="s">
        <v>879</v>
      </c>
      <c r="I297" s="24">
        <v>483.60655737704917</v>
      </c>
      <c r="J297" s="28">
        <v>0.22</v>
      </c>
      <c r="K297" s="23">
        <v>590</v>
      </c>
      <c r="L297" s="23">
        <v>590</v>
      </c>
      <c r="M297" s="29" t="s">
        <v>309</v>
      </c>
      <c r="N297" s="23" t="s">
        <v>896</v>
      </c>
      <c r="O297" s="29" t="s">
        <v>309</v>
      </c>
      <c r="P297" s="29"/>
      <c r="Q297" s="29"/>
      <c r="R297" s="22"/>
      <c r="S297" s="23">
        <v>1</v>
      </c>
      <c r="T297" s="22"/>
      <c r="U297" s="22"/>
      <c r="V297" s="27"/>
      <c r="W297" s="23">
        <v>100</v>
      </c>
      <c r="X297" s="23">
        <v>100</v>
      </c>
      <c r="Y297" s="23">
        <v>50</v>
      </c>
      <c r="Z297" s="22" t="s">
        <v>889</v>
      </c>
      <c r="AA297" s="22"/>
      <c r="AB297" s="23">
        <f>_xlfn.XLOOKUP(E297,nomen!A:A,nomen!C:C,0)</f>
        <v>1060</v>
      </c>
      <c r="AC297" s="23"/>
      <c r="AD297" s="27"/>
      <c r="AE297" s="27"/>
      <c r="AF297" s="27" t="s">
        <v>179</v>
      </c>
      <c r="AG297" s="30">
        <v>0.2</v>
      </c>
      <c r="AH297" s="24"/>
      <c r="AI297" s="21"/>
    </row>
    <row r="298" spans="1:35" x14ac:dyDescent="0.3">
      <c r="A298" s="22">
        <v>287</v>
      </c>
      <c r="B298" s="23">
        <v>4673746972212</v>
      </c>
      <c r="C298" s="26" t="s">
        <v>881</v>
      </c>
      <c r="D298" s="22" t="s">
        <v>882</v>
      </c>
      <c r="E298" s="22" t="s">
        <v>882</v>
      </c>
      <c r="F298" s="27" t="s">
        <v>1944</v>
      </c>
      <c r="G298" s="27"/>
      <c r="H298" s="27" t="s">
        <v>881</v>
      </c>
      <c r="I298" s="24">
        <v>320.49180327868851</v>
      </c>
      <c r="J298" s="28">
        <v>0.22</v>
      </c>
      <c r="K298" s="23">
        <v>391</v>
      </c>
      <c r="L298" s="23">
        <v>391</v>
      </c>
      <c r="M298" s="29" t="s">
        <v>309</v>
      </c>
      <c r="N298" s="23" t="s">
        <v>902</v>
      </c>
      <c r="O298" s="29" t="s">
        <v>309</v>
      </c>
      <c r="P298" s="29"/>
      <c r="Q298" s="29"/>
      <c r="R298" s="22"/>
      <c r="S298" s="23">
        <v>1</v>
      </c>
      <c r="T298" s="22"/>
      <c r="U298" s="22"/>
      <c r="V298" s="27"/>
      <c r="W298" s="23">
        <v>100</v>
      </c>
      <c r="X298" s="23">
        <v>100</v>
      </c>
      <c r="Y298" s="23">
        <v>50</v>
      </c>
      <c r="Z298" s="22" t="s">
        <v>889</v>
      </c>
      <c r="AA298" s="22"/>
      <c r="AB298" s="23">
        <f>_xlfn.XLOOKUP(E298,nomen!A:A,nomen!C:C,0)</f>
        <v>212</v>
      </c>
      <c r="AC298" s="23"/>
      <c r="AD298" s="27"/>
      <c r="AE298" s="27"/>
      <c r="AF298" s="27" t="s">
        <v>179</v>
      </c>
      <c r="AG298" s="30">
        <v>0.1</v>
      </c>
      <c r="AH298" s="24"/>
      <c r="AI298" s="21"/>
    </row>
    <row r="299" spans="1:35" x14ac:dyDescent="0.3">
      <c r="A299" s="22">
        <v>288</v>
      </c>
      <c r="B299" s="23">
        <v>2037427400357</v>
      </c>
      <c r="C299" s="26" t="s">
        <v>883</v>
      </c>
      <c r="D299" s="22" t="s">
        <v>884</v>
      </c>
      <c r="E299" s="22" t="s">
        <v>884</v>
      </c>
      <c r="F299" s="27" t="s">
        <v>1944</v>
      </c>
      <c r="G299" s="27"/>
      <c r="H299" s="27" t="s">
        <v>883</v>
      </c>
      <c r="I299" s="24">
        <v>2936.8852459016393</v>
      </c>
      <c r="J299" s="28">
        <v>0.22</v>
      </c>
      <c r="K299" s="23">
        <v>3583</v>
      </c>
      <c r="L299" s="23">
        <v>3583</v>
      </c>
      <c r="M299" s="29" t="s">
        <v>309</v>
      </c>
      <c r="N299" s="23" t="s">
        <v>1006</v>
      </c>
      <c r="O299" s="29" t="s">
        <v>309</v>
      </c>
      <c r="P299" s="29"/>
      <c r="Q299" s="29"/>
      <c r="R299" s="22"/>
      <c r="S299" s="23">
        <v>1</v>
      </c>
      <c r="T299" s="22"/>
      <c r="U299" s="22"/>
      <c r="V299" s="27"/>
      <c r="W299" s="23" t="s">
        <v>907</v>
      </c>
      <c r="X299" s="23" t="s">
        <v>908</v>
      </c>
      <c r="Y299" s="23" t="s">
        <v>909</v>
      </c>
      <c r="Z299" s="22" t="s">
        <v>889</v>
      </c>
      <c r="AA299" s="22"/>
      <c r="AB299" s="23">
        <f>_xlfn.XLOOKUP(E299,nomen!A:A,nomen!C:C,0)</f>
        <v>0</v>
      </c>
      <c r="AC299" s="23"/>
      <c r="AD299" s="27"/>
      <c r="AE299" s="27"/>
      <c r="AF299" s="27" t="s">
        <v>179</v>
      </c>
      <c r="AG299" s="30">
        <v>5</v>
      </c>
      <c r="AH299" s="24"/>
      <c r="AI299" s="21"/>
    </row>
    <row r="300" spans="1:35" x14ac:dyDescent="0.3">
      <c r="A300" s="22">
        <v>289</v>
      </c>
      <c r="B300" s="23">
        <v>4673746972571</v>
      </c>
      <c r="C300" s="26" t="s">
        <v>885</v>
      </c>
      <c r="D300" s="22" t="s">
        <v>886</v>
      </c>
      <c r="E300" s="22" t="s">
        <v>886</v>
      </c>
      <c r="F300" s="27" t="s">
        <v>1944</v>
      </c>
      <c r="G300" s="27"/>
      <c r="H300" s="27" t="s">
        <v>885</v>
      </c>
      <c r="I300" s="24">
        <v>406.55737704918033</v>
      </c>
      <c r="J300" s="28">
        <v>0.22</v>
      </c>
      <c r="K300" s="23">
        <v>496</v>
      </c>
      <c r="L300" s="23">
        <v>496</v>
      </c>
      <c r="M300" s="29" t="s">
        <v>309</v>
      </c>
      <c r="N300" s="23" t="s">
        <v>959</v>
      </c>
      <c r="O300" s="29" t="s">
        <v>309</v>
      </c>
      <c r="P300" s="29"/>
      <c r="Q300" s="29"/>
      <c r="R300" s="22"/>
      <c r="S300" s="23">
        <v>1</v>
      </c>
      <c r="T300" s="22"/>
      <c r="U300" s="22"/>
      <c r="V300" s="27"/>
      <c r="W300" s="23">
        <v>100</v>
      </c>
      <c r="X300" s="23">
        <v>100</v>
      </c>
      <c r="Y300" s="23">
        <v>50</v>
      </c>
      <c r="Z300" s="22" t="s">
        <v>889</v>
      </c>
      <c r="AA300" s="22"/>
      <c r="AB300" s="23">
        <f>_xlfn.XLOOKUP(E300,nomen!A:A,nomen!C:C,0)</f>
        <v>0</v>
      </c>
      <c r="AC300" s="23"/>
      <c r="AD300" s="27"/>
      <c r="AE300" s="27"/>
      <c r="AF300" s="27" t="s">
        <v>179</v>
      </c>
      <c r="AG300" s="30">
        <v>0.1</v>
      </c>
      <c r="AH300" s="24"/>
      <c r="AI300" s="21"/>
    </row>
    <row r="301" spans="1:35" x14ac:dyDescent="0.3">
      <c r="A301" s="22">
        <v>290</v>
      </c>
      <c r="B301" s="23">
        <v>2037427399965</v>
      </c>
      <c r="C301" s="26" t="s">
        <v>887</v>
      </c>
      <c r="D301" s="22" t="s">
        <v>888</v>
      </c>
      <c r="E301" s="22" t="s">
        <v>888</v>
      </c>
      <c r="F301" s="27" t="s">
        <v>1944</v>
      </c>
      <c r="G301" s="27"/>
      <c r="H301" s="27" t="s">
        <v>887</v>
      </c>
      <c r="I301" s="24">
        <v>98.360655737704917</v>
      </c>
      <c r="J301" s="28">
        <v>0.22</v>
      </c>
      <c r="K301" s="23">
        <v>120</v>
      </c>
      <c r="L301" s="23">
        <v>120</v>
      </c>
      <c r="M301" s="29" t="s">
        <v>309</v>
      </c>
      <c r="N301" s="23" t="s">
        <v>899</v>
      </c>
      <c r="O301" s="29" t="s">
        <v>309</v>
      </c>
      <c r="P301" s="29"/>
      <c r="Q301" s="29"/>
      <c r="R301" s="22"/>
      <c r="S301" s="23">
        <v>1</v>
      </c>
      <c r="T301" s="22"/>
      <c r="U301" s="22"/>
      <c r="V301" s="27"/>
      <c r="W301" s="23" t="s">
        <v>897</v>
      </c>
      <c r="X301" s="23" t="s">
        <v>897</v>
      </c>
      <c r="Y301" s="23" t="s">
        <v>903</v>
      </c>
      <c r="Z301" s="22" t="s">
        <v>889</v>
      </c>
      <c r="AA301" s="22"/>
      <c r="AB301" s="23">
        <f>_xlfn.XLOOKUP(E301,nomen!A:A,nomen!C:C,0)</f>
        <v>468</v>
      </c>
      <c r="AC301" s="23"/>
      <c r="AD301" s="27"/>
      <c r="AE301" s="27"/>
      <c r="AF301" s="27" t="s">
        <v>179</v>
      </c>
      <c r="AG301" s="30">
        <v>0.76600000000000001</v>
      </c>
      <c r="AH301" s="24"/>
      <c r="AI301" s="21"/>
    </row>
    <row r="302" spans="1:35" x14ac:dyDescent="0.3">
      <c r="A302" s="31">
        <v>291</v>
      </c>
      <c r="B302" s="32">
        <v>4673746974742</v>
      </c>
      <c r="C302" s="31" t="s">
        <v>2168</v>
      </c>
      <c r="D302" s="31" t="s">
        <v>2169</v>
      </c>
      <c r="E302" s="31" t="s">
        <v>2169</v>
      </c>
      <c r="F302" s="31" t="s">
        <v>1944</v>
      </c>
      <c r="G302" s="31"/>
      <c r="H302" s="31" t="s">
        <v>2168</v>
      </c>
      <c r="I302" s="33">
        <v>158.19999999999999</v>
      </c>
      <c r="J302" s="34">
        <v>0.22</v>
      </c>
      <c r="K302" s="32">
        <v>193</v>
      </c>
      <c r="L302" s="31">
        <v>193</v>
      </c>
      <c r="M302" s="31" t="s">
        <v>309</v>
      </c>
      <c r="N302" s="32">
        <v>290</v>
      </c>
      <c r="O302" s="31" t="s">
        <v>309</v>
      </c>
      <c r="P302" s="31"/>
      <c r="Q302" s="31"/>
      <c r="R302" s="31"/>
      <c r="S302" s="31">
        <v>1</v>
      </c>
      <c r="T302" s="31"/>
      <c r="U302" s="31"/>
      <c r="V302" s="31"/>
      <c r="W302" s="31">
        <v>120</v>
      </c>
      <c r="X302" s="32">
        <v>180</v>
      </c>
      <c r="Y302" s="31">
        <v>20</v>
      </c>
      <c r="Z302" s="31" t="s">
        <v>889</v>
      </c>
      <c r="AA302" s="31"/>
      <c r="AB302" s="23">
        <f>_xlfn.XLOOKUP(E302,nomen!A:A,nomen!C:C,0)</f>
        <v>2263</v>
      </c>
      <c r="AC302" s="31"/>
      <c r="AD302" s="31"/>
      <c r="AE302" s="31"/>
      <c r="AF302" s="27" t="s">
        <v>179</v>
      </c>
      <c r="AG302" s="35">
        <v>0.1</v>
      </c>
      <c r="AH302" s="33"/>
      <c r="AI302" s="21"/>
    </row>
    <row r="303" spans="1:35" x14ac:dyDescent="0.3">
      <c r="A303" s="31">
        <v>292</v>
      </c>
      <c r="B303" s="32">
        <v>4673746974957</v>
      </c>
      <c r="C303" s="31" t="s">
        <v>2170</v>
      </c>
      <c r="D303" s="31" t="s">
        <v>2171</v>
      </c>
      <c r="E303" s="31" t="s">
        <v>2171</v>
      </c>
      <c r="F303" s="31" t="s">
        <v>1944</v>
      </c>
      <c r="G303" s="31"/>
      <c r="H303" s="31" t="s">
        <v>2170</v>
      </c>
      <c r="I303" s="33">
        <v>353.28</v>
      </c>
      <c r="J303" s="34">
        <v>0.22</v>
      </c>
      <c r="K303" s="32">
        <v>431</v>
      </c>
      <c r="L303" s="31">
        <v>431</v>
      </c>
      <c r="M303" s="31" t="s">
        <v>309</v>
      </c>
      <c r="N303" s="32">
        <v>650</v>
      </c>
      <c r="O303" s="31" t="s">
        <v>309</v>
      </c>
      <c r="P303" s="31"/>
      <c r="Q303" s="31"/>
      <c r="R303" s="31"/>
      <c r="S303" s="31">
        <v>1</v>
      </c>
      <c r="T303" s="31"/>
      <c r="U303" s="31"/>
      <c r="V303" s="31"/>
      <c r="W303" s="31">
        <v>100</v>
      </c>
      <c r="X303" s="32">
        <v>300</v>
      </c>
      <c r="Y303" s="31">
        <v>100</v>
      </c>
      <c r="Z303" s="31" t="s">
        <v>889</v>
      </c>
      <c r="AA303" s="31"/>
      <c r="AB303" s="23">
        <f>_xlfn.XLOOKUP(E303,nomen!A:A,nomen!C:C,0)</f>
        <v>437</v>
      </c>
      <c r="AC303" s="31"/>
      <c r="AD303" s="31"/>
      <c r="AE303" s="31"/>
      <c r="AF303" s="27" t="s">
        <v>179</v>
      </c>
      <c r="AG303" s="35">
        <v>0.3</v>
      </c>
      <c r="AH303" s="33"/>
      <c r="AI303" s="21"/>
    </row>
    <row r="304" spans="1:35" x14ac:dyDescent="0.3">
      <c r="A304" s="31">
        <v>293</v>
      </c>
      <c r="B304" s="32">
        <v>4673746974735</v>
      </c>
      <c r="C304" s="31" t="s">
        <v>2172</v>
      </c>
      <c r="D304" s="31" t="s">
        <v>1598</v>
      </c>
      <c r="E304" s="31" t="s">
        <v>1598</v>
      </c>
      <c r="F304" s="31" t="s">
        <v>1944</v>
      </c>
      <c r="G304" s="31"/>
      <c r="H304" s="31" t="s">
        <v>2172</v>
      </c>
      <c r="I304" s="33">
        <v>158.19999999999999</v>
      </c>
      <c r="J304" s="34">
        <v>0.22</v>
      </c>
      <c r="K304" s="32">
        <v>193</v>
      </c>
      <c r="L304" s="31">
        <v>193</v>
      </c>
      <c r="M304" s="31" t="s">
        <v>309</v>
      </c>
      <c r="N304" s="32">
        <v>290</v>
      </c>
      <c r="O304" s="31" t="s">
        <v>309</v>
      </c>
      <c r="P304" s="31"/>
      <c r="Q304" s="31"/>
      <c r="R304" s="31"/>
      <c r="S304" s="31">
        <v>1</v>
      </c>
      <c r="T304" s="31"/>
      <c r="U304" s="31"/>
      <c r="V304" s="31"/>
      <c r="W304" s="31">
        <v>240</v>
      </c>
      <c r="X304" s="32">
        <v>250</v>
      </c>
      <c r="Y304" s="31">
        <v>70</v>
      </c>
      <c r="Z304" s="31" t="s">
        <v>889</v>
      </c>
      <c r="AA304" s="31"/>
      <c r="AB304" s="23">
        <f>_xlfn.XLOOKUP(E304,nomen!A:A,nomen!C:C,0)</f>
        <v>1439</v>
      </c>
      <c r="AC304" s="31"/>
      <c r="AD304" s="31"/>
      <c r="AE304" s="31"/>
      <c r="AF304" s="27" t="s">
        <v>179</v>
      </c>
      <c r="AG304" s="35">
        <v>0.1</v>
      </c>
      <c r="AH304" s="33"/>
      <c r="AI304" s="21"/>
    </row>
    <row r="305" spans="1:35" x14ac:dyDescent="0.3">
      <c r="A305" s="31">
        <v>294</v>
      </c>
      <c r="B305" s="32">
        <v>4673746971086</v>
      </c>
      <c r="C305" s="31" t="s">
        <v>2173</v>
      </c>
      <c r="D305" s="31" t="s">
        <v>2174</v>
      </c>
      <c r="E305" s="31" t="s">
        <v>2174</v>
      </c>
      <c r="F305" s="31" t="s">
        <v>1944</v>
      </c>
      <c r="G305" s="31"/>
      <c r="H305" s="31" t="s">
        <v>2173</v>
      </c>
      <c r="I305" s="33">
        <v>216.39</v>
      </c>
      <c r="J305" s="34">
        <v>0.22</v>
      </c>
      <c r="K305" s="32">
        <v>264</v>
      </c>
      <c r="L305" s="31">
        <v>264</v>
      </c>
      <c r="M305" s="31" t="s">
        <v>309</v>
      </c>
      <c r="N305" s="32">
        <v>420</v>
      </c>
      <c r="O305" s="31" t="s">
        <v>309</v>
      </c>
      <c r="P305" s="31"/>
      <c r="Q305" s="31"/>
      <c r="R305" s="31"/>
      <c r="S305" s="31">
        <v>1</v>
      </c>
      <c r="T305" s="31"/>
      <c r="U305" s="31"/>
      <c r="V305" s="31"/>
      <c r="W305" s="31">
        <v>280</v>
      </c>
      <c r="X305" s="32">
        <v>80</v>
      </c>
      <c r="Y305" s="31">
        <v>80</v>
      </c>
      <c r="Z305" s="31" t="s">
        <v>889</v>
      </c>
      <c r="AA305" s="31"/>
      <c r="AB305" s="23">
        <f>_xlfn.XLOOKUP(E305,nomen!A:A,nomen!C:C,0)</f>
        <v>570</v>
      </c>
      <c r="AC305" s="31"/>
      <c r="AD305" s="31"/>
      <c r="AE305" s="31"/>
      <c r="AF305" s="27" t="s">
        <v>179</v>
      </c>
      <c r="AG305" s="35">
        <v>0.77</v>
      </c>
      <c r="AH305" s="33"/>
      <c r="AI305" s="21"/>
    </row>
    <row r="306" spans="1:35" x14ac:dyDescent="0.3">
      <c r="A306" s="31">
        <v>295</v>
      </c>
      <c r="B306" s="32">
        <v>4652245476827</v>
      </c>
      <c r="C306" s="31" t="s">
        <v>2175</v>
      </c>
      <c r="D306" s="31" t="s">
        <v>2100</v>
      </c>
      <c r="E306" s="31" t="s">
        <v>2100</v>
      </c>
      <c r="F306" s="31" t="s">
        <v>1944</v>
      </c>
      <c r="G306" s="31"/>
      <c r="H306" s="31" t="s">
        <v>2175</v>
      </c>
      <c r="I306" s="33">
        <v>144.26</v>
      </c>
      <c r="J306" s="34">
        <v>0.22</v>
      </c>
      <c r="K306" s="32">
        <v>176</v>
      </c>
      <c r="L306" s="31">
        <v>176</v>
      </c>
      <c r="M306" s="31" t="s">
        <v>309</v>
      </c>
      <c r="N306" s="32">
        <v>280</v>
      </c>
      <c r="O306" s="31" t="s">
        <v>309</v>
      </c>
      <c r="P306" s="31"/>
      <c r="Q306" s="31"/>
      <c r="R306" s="31"/>
      <c r="S306" s="31">
        <v>1</v>
      </c>
      <c r="T306" s="31"/>
      <c r="U306" s="31"/>
      <c r="V306" s="31"/>
      <c r="W306" s="31">
        <v>80</v>
      </c>
      <c r="X306" s="32">
        <v>230</v>
      </c>
      <c r="Y306" s="31">
        <v>80</v>
      </c>
      <c r="Z306" s="31" t="s">
        <v>889</v>
      </c>
      <c r="AA306" s="31"/>
      <c r="AB306" s="23">
        <f>_xlfn.XLOOKUP(E306,nomen!A:A,nomen!C:C,0)</f>
        <v>400</v>
      </c>
      <c r="AC306" s="31"/>
      <c r="AD306" s="31"/>
      <c r="AE306" s="31"/>
      <c r="AF306" s="27" t="s">
        <v>179</v>
      </c>
      <c r="AG306" s="35">
        <v>0.8</v>
      </c>
      <c r="AH306" s="33"/>
      <c r="AI306" s="21"/>
    </row>
    <row r="307" spans="1:35" x14ac:dyDescent="0.3">
      <c r="A307" s="31">
        <v>296</v>
      </c>
      <c r="B307" s="32">
        <v>4652245476308</v>
      </c>
      <c r="C307" s="31" t="s">
        <v>2176</v>
      </c>
      <c r="D307" s="31" t="s">
        <v>1609</v>
      </c>
      <c r="E307" s="31" t="s">
        <v>1609</v>
      </c>
      <c r="F307" s="31" t="s">
        <v>1944</v>
      </c>
      <c r="G307" s="31"/>
      <c r="H307" s="31" t="s">
        <v>2176</v>
      </c>
      <c r="I307" s="33">
        <v>144.26</v>
      </c>
      <c r="J307" s="34">
        <v>0.22</v>
      </c>
      <c r="K307" s="32">
        <v>176</v>
      </c>
      <c r="L307" s="31">
        <v>176</v>
      </c>
      <c r="M307" s="31" t="s">
        <v>309</v>
      </c>
      <c r="N307" s="32">
        <v>280</v>
      </c>
      <c r="O307" s="31" t="s">
        <v>309</v>
      </c>
      <c r="P307" s="31"/>
      <c r="Q307" s="31"/>
      <c r="R307" s="31"/>
      <c r="S307" s="31">
        <v>1</v>
      </c>
      <c r="T307" s="31"/>
      <c r="U307" s="31"/>
      <c r="V307" s="31"/>
      <c r="W307" s="31">
        <v>260</v>
      </c>
      <c r="X307" s="32">
        <v>80</v>
      </c>
      <c r="Y307" s="31">
        <v>80</v>
      </c>
      <c r="Z307" s="31" t="s">
        <v>889</v>
      </c>
      <c r="AA307" s="31"/>
      <c r="AB307" s="23">
        <f>_xlfn.XLOOKUP(E307,nomen!A:A,nomen!C:C,0)</f>
        <v>264</v>
      </c>
      <c r="AC307" s="31"/>
      <c r="AD307" s="31"/>
      <c r="AE307" s="31"/>
      <c r="AF307" s="27" t="s">
        <v>179</v>
      </c>
      <c r="AG307" s="35">
        <v>0.99</v>
      </c>
      <c r="AH307" s="33"/>
      <c r="AI307" s="21"/>
    </row>
    <row r="308" spans="1:35" x14ac:dyDescent="0.3">
      <c r="A308" s="31">
        <v>297</v>
      </c>
      <c r="B308" s="32">
        <v>4673746971871</v>
      </c>
      <c r="C308" s="31" t="s">
        <v>2177</v>
      </c>
      <c r="D308" s="31" t="s">
        <v>2090</v>
      </c>
      <c r="E308" s="31" t="s">
        <v>2090</v>
      </c>
      <c r="F308" s="31" t="s">
        <v>1944</v>
      </c>
      <c r="G308" s="31"/>
      <c r="H308" s="31" t="s">
        <v>2177</v>
      </c>
      <c r="I308" s="33">
        <v>158.19999999999999</v>
      </c>
      <c r="J308" s="34">
        <v>0.22</v>
      </c>
      <c r="K308" s="32">
        <v>193</v>
      </c>
      <c r="L308" s="31">
        <v>193</v>
      </c>
      <c r="M308" s="31" t="s">
        <v>309</v>
      </c>
      <c r="N308" s="32">
        <v>290</v>
      </c>
      <c r="O308" s="31" t="s">
        <v>309</v>
      </c>
      <c r="P308" s="31"/>
      <c r="Q308" s="31"/>
      <c r="R308" s="31"/>
      <c r="S308" s="31">
        <v>1</v>
      </c>
      <c r="T308" s="31"/>
      <c r="U308" s="31"/>
      <c r="V308" s="31"/>
      <c r="W308" s="31">
        <v>80</v>
      </c>
      <c r="X308" s="32">
        <v>150</v>
      </c>
      <c r="Y308" s="31">
        <v>150</v>
      </c>
      <c r="Z308" s="31" t="s">
        <v>889</v>
      </c>
      <c r="AA308" s="31"/>
      <c r="AB308" s="23">
        <f>_xlfn.XLOOKUP(E308,nomen!A:A,nomen!C:C,0)</f>
        <v>3796</v>
      </c>
      <c r="AC308" s="31"/>
      <c r="AD308" s="31"/>
      <c r="AE308" s="31"/>
      <c r="AF308" s="27" t="s">
        <v>179</v>
      </c>
      <c r="AG308" s="35">
        <v>2.3E-2</v>
      </c>
      <c r="AH308" s="33"/>
      <c r="AI308" s="21"/>
    </row>
    <row r="309" spans="1:35" x14ac:dyDescent="0.3">
      <c r="A309" s="31">
        <v>298</v>
      </c>
      <c r="B309" s="32">
        <v>4652245476759</v>
      </c>
      <c r="C309" s="31" t="s">
        <v>2178</v>
      </c>
      <c r="D309" s="31" t="s">
        <v>1648</v>
      </c>
      <c r="E309" s="31" t="s">
        <v>1648</v>
      </c>
      <c r="F309" s="31" t="s">
        <v>1944</v>
      </c>
      <c r="G309" s="31"/>
      <c r="H309" s="31" t="s">
        <v>2178</v>
      </c>
      <c r="I309" s="33">
        <v>972.13</v>
      </c>
      <c r="J309" s="34">
        <v>0.22</v>
      </c>
      <c r="K309" s="32">
        <v>1186</v>
      </c>
      <c r="L309" s="31">
        <v>1186</v>
      </c>
      <c r="M309" s="31" t="s">
        <v>309</v>
      </c>
      <c r="N309" s="32">
        <v>1890</v>
      </c>
      <c r="O309" s="31" t="s">
        <v>309</v>
      </c>
      <c r="P309" s="31"/>
      <c r="Q309" s="31"/>
      <c r="R309" s="31"/>
      <c r="S309" s="31">
        <v>1</v>
      </c>
      <c r="T309" s="31"/>
      <c r="U309" s="31"/>
      <c r="V309" s="31"/>
      <c r="W309" s="31">
        <v>280</v>
      </c>
      <c r="X309" s="32">
        <v>230</v>
      </c>
      <c r="Y309" s="31">
        <v>170</v>
      </c>
      <c r="Z309" s="31" t="s">
        <v>889</v>
      </c>
      <c r="AA309" s="31"/>
      <c r="AB309" s="23">
        <f>_xlfn.XLOOKUP(E309,nomen!A:A,nomen!C:C,0)</f>
        <v>107</v>
      </c>
      <c r="AC309" s="31"/>
      <c r="AD309" s="31"/>
      <c r="AE309" s="31"/>
      <c r="AF309" s="27" t="s">
        <v>179</v>
      </c>
      <c r="AG309" s="35">
        <v>5.0999999999999996</v>
      </c>
      <c r="AH309" s="33"/>
      <c r="AI309" s="21"/>
    </row>
    <row r="310" spans="1:35" x14ac:dyDescent="0.3">
      <c r="A310" s="31">
        <v>299</v>
      </c>
      <c r="B310" s="32">
        <v>4673746970607</v>
      </c>
      <c r="C310" s="31" t="s">
        <v>2179</v>
      </c>
      <c r="D310" s="31" t="s">
        <v>2059</v>
      </c>
      <c r="E310" s="31" t="s">
        <v>2059</v>
      </c>
      <c r="F310" s="31" t="s">
        <v>1944</v>
      </c>
      <c r="G310" s="31"/>
      <c r="H310" s="31" t="s">
        <v>2179</v>
      </c>
      <c r="I310" s="33">
        <v>128.69</v>
      </c>
      <c r="J310" s="34">
        <v>0.22</v>
      </c>
      <c r="K310" s="32">
        <v>157</v>
      </c>
      <c r="L310" s="31">
        <v>157</v>
      </c>
      <c r="M310" s="31" t="s">
        <v>309</v>
      </c>
      <c r="N310" s="32">
        <v>250</v>
      </c>
      <c r="O310" s="31" t="s">
        <v>309</v>
      </c>
      <c r="P310" s="31"/>
      <c r="Q310" s="31"/>
      <c r="R310" s="31"/>
      <c r="S310" s="31">
        <v>1</v>
      </c>
      <c r="T310" s="31"/>
      <c r="U310" s="31"/>
      <c r="V310" s="31"/>
      <c r="W310" s="31">
        <v>80</v>
      </c>
      <c r="X310" s="32">
        <v>230</v>
      </c>
      <c r="Y310" s="31">
        <v>80</v>
      </c>
      <c r="Z310" s="31" t="s">
        <v>889</v>
      </c>
      <c r="AA310" s="31"/>
      <c r="AB310" s="23">
        <f>_xlfn.XLOOKUP(E310,nomen!A:A,nomen!C:C,0)</f>
        <v>613</v>
      </c>
      <c r="AC310" s="31"/>
      <c r="AD310" s="31"/>
      <c r="AE310" s="31"/>
      <c r="AF310" s="27" t="s">
        <v>179</v>
      </c>
      <c r="AG310" s="35">
        <v>0.76700000000000002</v>
      </c>
      <c r="AH310" s="33"/>
      <c r="AI310" s="21"/>
    </row>
    <row r="311" spans="1:35" x14ac:dyDescent="0.3">
      <c r="A311" s="31">
        <v>300</v>
      </c>
      <c r="B311" s="32">
        <v>5101234100018</v>
      </c>
      <c r="C311" s="31" t="s">
        <v>2180</v>
      </c>
      <c r="D311" s="31" t="s">
        <v>2181</v>
      </c>
      <c r="E311" s="31" t="s">
        <v>2181</v>
      </c>
      <c r="F311" s="31" t="s">
        <v>1944</v>
      </c>
      <c r="G311" s="31"/>
      <c r="H311" s="31" t="s">
        <v>2180</v>
      </c>
      <c r="I311" s="33">
        <v>190.16</v>
      </c>
      <c r="J311" s="34">
        <v>0.22</v>
      </c>
      <c r="K311" s="32">
        <v>232</v>
      </c>
      <c r="L311" s="31">
        <v>232</v>
      </c>
      <c r="M311" s="31" t="s">
        <v>309</v>
      </c>
      <c r="N311" s="32">
        <v>350</v>
      </c>
      <c r="O311" s="31" t="s">
        <v>309</v>
      </c>
      <c r="P311" s="31"/>
      <c r="Q311" s="31"/>
      <c r="R311" s="31"/>
      <c r="S311" s="31">
        <v>1</v>
      </c>
      <c r="T311" s="31"/>
      <c r="U311" s="31"/>
      <c r="V311" s="31"/>
      <c r="W311" s="31">
        <v>100</v>
      </c>
      <c r="X311" s="32">
        <v>130</v>
      </c>
      <c r="Y311" s="31">
        <v>40</v>
      </c>
      <c r="Z311" s="31" t="s">
        <v>889</v>
      </c>
      <c r="AA311" s="31"/>
      <c r="AB311" s="23">
        <f>_xlfn.XLOOKUP(E311,nomen!A:A,nomen!C:C,0)</f>
        <v>0</v>
      </c>
      <c r="AC311" s="31"/>
      <c r="AD311" s="31"/>
      <c r="AE311" s="31"/>
      <c r="AF311" s="27" t="s">
        <v>179</v>
      </c>
      <c r="AG311" s="35">
        <v>0.11</v>
      </c>
      <c r="AH311" s="33"/>
      <c r="AI311" s="21"/>
    </row>
    <row r="312" spans="1:35" x14ac:dyDescent="0.3">
      <c r="A312" s="31">
        <v>301</v>
      </c>
      <c r="B312" s="32">
        <v>5101234100025</v>
      </c>
      <c r="C312" s="31" t="s">
        <v>2182</v>
      </c>
      <c r="D312" s="31" t="s">
        <v>1569</v>
      </c>
      <c r="E312" s="31" t="s">
        <v>1569</v>
      </c>
      <c r="F312" s="31" t="s">
        <v>1944</v>
      </c>
      <c r="G312" s="31"/>
      <c r="H312" s="31" t="s">
        <v>2182</v>
      </c>
      <c r="I312" s="33">
        <v>136.07</v>
      </c>
      <c r="J312" s="34">
        <v>0.22</v>
      </c>
      <c r="K312" s="32">
        <v>166</v>
      </c>
      <c r="L312" s="31">
        <v>166</v>
      </c>
      <c r="M312" s="31" t="s">
        <v>309</v>
      </c>
      <c r="N312" s="32">
        <v>250</v>
      </c>
      <c r="O312" s="31" t="s">
        <v>309</v>
      </c>
      <c r="P312" s="31"/>
      <c r="Q312" s="31"/>
      <c r="R312" s="31"/>
      <c r="S312" s="31">
        <v>1</v>
      </c>
      <c r="T312" s="31"/>
      <c r="U312" s="31"/>
      <c r="V312" s="31"/>
      <c r="W312" s="31">
        <v>60</v>
      </c>
      <c r="X312" s="32">
        <v>70</v>
      </c>
      <c r="Y312" s="31">
        <v>60</v>
      </c>
      <c r="Z312" s="31" t="s">
        <v>889</v>
      </c>
      <c r="AA312" s="31"/>
      <c r="AB312" s="23">
        <f>_xlfn.XLOOKUP(E312,nomen!A:A,nomen!C:C,0)</f>
        <v>31</v>
      </c>
      <c r="AC312" s="31"/>
      <c r="AD312" s="31"/>
      <c r="AE312" s="31"/>
      <c r="AF312" s="27" t="s">
        <v>179</v>
      </c>
      <c r="AG312" s="35">
        <v>0.06</v>
      </c>
      <c r="AH312" s="33"/>
      <c r="AI312" s="21"/>
    </row>
    <row r="313" spans="1:35" x14ac:dyDescent="0.3">
      <c r="A313" s="31">
        <v>302</v>
      </c>
      <c r="B313" s="32">
        <v>5101234100032</v>
      </c>
      <c r="C313" s="31" t="s">
        <v>2183</v>
      </c>
      <c r="D313" s="31" t="s">
        <v>2094</v>
      </c>
      <c r="E313" s="31" t="s">
        <v>2094</v>
      </c>
      <c r="F313" s="31" t="s">
        <v>1944</v>
      </c>
      <c r="G313" s="31"/>
      <c r="H313" s="31" t="s">
        <v>2183</v>
      </c>
      <c r="I313" s="33">
        <v>266.39</v>
      </c>
      <c r="J313" s="34">
        <v>0.22</v>
      </c>
      <c r="K313" s="32">
        <v>325</v>
      </c>
      <c r="L313" s="31">
        <v>325</v>
      </c>
      <c r="M313" s="31" t="s">
        <v>309</v>
      </c>
      <c r="N313" s="32">
        <v>490</v>
      </c>
      <c r="O313" s="31" t="s">
        <v>309</v>
      </c>
      <c r="P313" s="31"/>
      <c r="Q313" s="31"/>
      <c r="R313" s="31"/>
      <c r="S313" s="31">
        <v>1</v>
      </c>
      <c r="T313" s="31"/>
      <c r="U313" s="31"/>
      <c r="V313" s="31"/>
      <c r="W313" s="31">
        <v>40</v>
      </c>
      <c r="X313" s="32">
        <v>150</v>
      </c>
      <c r="Y313" s="31">
        <v>50</v>
      </c>
      <c r="Z313" s="31" t="s">
        <v>889</v>
      </c>
      <c r="AA313" s="31"/>
      <c r="AB313" s="23">
        <f>_xlfn.XLOOKUP(E313,nomen!A:A,nomen!C:C,0)</f>
        <v>509</v>
      </c>
      <c r="AC313" s="31"/>
      <c r="AD313" s="31"/>
      <c r="AE313" s="31"/>
      <c r="AF313" s="27" t="s">
        <v>179</v>
      </c>
      <c r="AG313" s="35">
        <v>0.1</v>
      </c>
      <c r="AH313" s="33"/>
      <c r="AI313" s="21"/>
    </row>
    <row r="314" spans="1:35" x14ac:dyDescent="0.3">
      <c r="A314" s="31">
        <v>303</v>
      </c>
      <c r="B314" s="32">
        <v>5101234100049</v>
      </c>
      <c r="C314" s="31" t="s">
        <v>2184</v>
      </c>
      <c r="D314" s="31" t="s">
        <v>1607</v>
      </c>
      <c r="E314" s="31" t="s">
        <v>1607</v>
      </c>
      <c r="F314" s="31" t="s">
        <v>1944</v>
      </c>
      <c r="G314" s="31"/>
      <c r="H314" s="31" t="s">
        <v>2184</v>
      </c>
      <c r="I314" s="33">
        <v>504.92</v>
      </c>
      <c r="J314" s="34">
        <v>0.22</v>
      </c>
      <c r="K314" s="32">
        <v>616</v>
      </c>
      <c r="L314" s="31">
        <v>616</v>
      </c>
      <c r="M314" s="31" t="s">
        <v>309</v>
      </c>
      <c r="N314" s="32">
        <v>690</v>
      </c>
      <c r="O314" s="31" t="s">
        <v>309</v>
      </c>
      <c r="P314" s="31"/>
      <c r="Q314" s="31"/>
      <c r="R314" s="31"/>
      <c r="S314" s="31">
        <v>1</v>
      </c>
      <c r="T314" s="31"/>
      <c r="U314" s="31"/>
      <c r="V314" s="31"/>
      <c r="W314" s="31">
        <v>20</v>
      </c>
      <c r="X314" s="32">
        <v>240</v>
      </c>
      <c r="Y314" s="31">
        <v>230</v>
      </c>
      <c r="Z314" s="31" t="s">
        <v>889</v>
      </c>
      <c r="AA314" s="31"/>
      <c r="AB314" s="23">
        <f>_xlfn.XLOOKUP(E314,nomen!A:A,nomen!C:C,0)</f>
        <v>760</v>
      </c>
      <c r="AC314" s="31"/>
      <c r="AD314" s="31"/>
      <c r="AE314" s="31"/>
      <c r="AF314" s="27" t="s">
        <v>179</v>
      </c>
      <c r="AG314" s="35">
        <v>5.5E-2</v>
      </c>
      <c r="AH314" s="33"/>
      <c r="AI314" s="21"/>
    </row>
    <row r="315" spans="1:35" x14ac:dyDescent="0.3">
      <c r="A315" s="31">
        <v>304</v>
      </c>
      <c r="B315" s="32">
        <v>5101234100056</v>
      </c>
      <c r="C315" s="31" t="s">
        <v>2185</v>
      </c>
      <c r="D315" s="31" t="s">
        <v>730</v>
      </c>
      <c r="E315" s="31" t="s">
        <v>730</v>
      </c>
      <c r="F315" s="31" t="s">
        <v>1944</v>
      </c>
      <c r="G315" s="31"/>
      <c r="H315" s="31" t="s">
        <v>2185</v>
      </c>
      <c r="I315" s="33">
        <v>190.16</v>
      </c>
      <c r="J315" s="34">
        <v>0.22</v>
      </c>
      <c r="K315" s="32">
        <v>232</v>
      </c>
      <c r="L315" s="31">
        <v>232</v>
      </c>
      <c r="M315" s="31" t="s">
        <v>309</v>
      </c>
      <c r="N315" s="32">
        <v>350</v>
      </c>
      <c r="O315" s="31" t="s">
        <v>309</v>
      </c>
      <c r="P315" s="31"/>
      <c r="Q315" s="31"/>
      <c r="R315" s="31"/>
      <c r="S315" s="31">
        <v>1</v>
      </c>
      <c r="T315" s="31"/>
      <c r="U315" s="31"/>
      <c r="V315" s="31"/>
      <c r="W315" s="31">
        <v>40</v>
      </c>
      <c r="X315" s="32">
        <v>240</v>
      </c>
      <c r="Y315" s="31">
        <v>40</v>
      </c>
      <c r="Z315" s="31" t="s">
        <v>889</v>
      </c>
      <c r="AA315" s="31"/>
      <c r="AB315" s="23">
        <f>_xlfn.XLOOKUP(E315,nomen!A:A,nomen!C:C,0)</f>
        <v>1196</v>
      </c>
      <c r="AC315" s="31"/>
      <c r="AD315" s="31"/>
      <c r="AE315" s="31"/>
      <c r="AF315" s="27" t="s">
        <v>179</v>
      </c>
      <c r="AG315" s="35">
        <v>0.06</v>
      </c>
      <c r="AH315" s="33"/>
      <c r="AI315" s="21"/>
    </row>
    <row r="316" spans="1:35" x14ac:dyDescent="0.3">
      <c r="A316" s="31">
        <v>305</v>
      </c>
      <c r="B316" s="32">
        <v>4652245476483</v>
      </c>
      <c r="C316" s="31" t="s">
        <v>2186</v>
      </c>
      <c r="D316" s="31" t="s">
        <v>2187</v>
      </c>
      <c r="E316" s="31" t="s">
        <v>2187</v>
      </c>
      <c r="F316" s="31" t="s">
        <v>1944</v>
      </c>
      <c r="G316" s="31"/>
      <c r="H316" s="31" t="s">
        <v>2186</v>
      </c>
      <c r="I316" s="33">
        <v>161.47999999999999</v>
      </c>
      <c r="J316" s="34">
        <v>0.22</v>
      </c>
      <c r="K316" s="32">
        <v>197</v>
      </c>
      <c r="L316" s="31">
        <v>197</v>
      </c>
      <c r="M316" s="31" t="s">
        <v>309</v>
      </c>
      <c r="N316" s="32">
        <v>270</v>
      </c>
      <c r="O316" s="31" t="s">
        <v>309</v>
      </c>
      <c r="P316" s="31"/>
      <c r="Q316" s="31"/>
      <c r="R316" s="31"/>
      <c r="S316" s="31">
        <v>1</v>
      </c>
      <c r="T316" s="31"/>
      <c r="U316" s="31"/>
      <c r="V316" s="31"/>
      <c r="W316" s="31">
        <v>80</v>
      </c>
      <c r="X316" s="32">
        <v>280</v>
      </c>
      <c r="Y316" s="31">
        <v>80</v>
      </c>
      <c r="Z316" s="31" t="s">
        <v>889</v>
      </c>
      <c r="AA316" s="31"/>
      <c r="AB316" s="23">
        <f>_xlfn.XLOOKUP(E316,nomen!A:A,nomen!C:C,0)</f>
        <v>0</v>
      </c>
      <c r="AC316" s="31"/>
      <c r="AD316" s="31"/>
      <c r="AE316" s="31"/>
      <c r="AF316" s="27" t="s">
        <v>179</v>
      </c>
      <c r="AG316" s="35">
        <v>0.9</v>
      </c>
      <c r="AH316" s="33"/>
      <c r="AI316" s="21"/>
    </row>
    <row r="317" spans="1:35" x14ac:dyDescent="0.3">
      <c r="A317" s="31">
        <v>306</v>
      </c>
      <c r="B317" s="32">
        <v>5101234100063</v>
      </c>
      <c r="C317" s="31" t="s">
        <v>2188</v>
      </c>
      <c r="D317" s="31" t="s">
        <v>1578</v>
      </c>
      <c r="E317" s="31" t="s">
        <v>1578</v>
      </c>
      <c r="F317" s="31" t="s">
        <v>1944</v>
      </c>
      <c r="G317" s="31"/>
      <c r="H317" s="31" t="s">
        <v>2188</v>
      </c>
      <c r="I317" s="33">
        <v>190.16</v>
      </c>
      <c r="J317" s="34">
        <v>0.22</v>
      </c>
      <c r="K317" s="32">
        <v>232</v>
      </c>
      <c r="L317" s="31">
        <v>232</v>
      </c>
      <c r="M317" s="31" t="s">
        <v>309</v>
      </c>
      <c r="N317" s="32">
        <v>350</v>
      </c>
      <c r="O317" s="31" t="s">
        <v>309</v>
      </c>
      <c r="P317" s="31"/>
      <c r="Q317" s="31"/>
      <c r="R317" s="31"/>
      <c r="S317" s="31">
        <v>1</v>
      </c>
      <c r="T317" s="31"/>
      <c r="U317" s="31"/>
      <c r="V317" s="31"/>
      <c r="W317" s="31">
        <v>40</v>
      </c>
      <c r="X317" s="32">
        <v>150</v>
      </c>
      <c r="Y317" s="31">
        <v>50</v>
      </c>
      <c r="Z317" s="31" t="s">
        <v>889</v>
      </c>
      <c r="AA317" s="31"/>
      <c r="AB317" s="23">
        <f>_xlfn.XLOOKUP(E317,nomen!A:A,nomen!C:C,0)</f>
        <v>973</v>
      </c>
      <c r="AC317" s="31"/>
      <c r="AD317" s="31"/>
      <c r="AE317" s="31"/>
      <c r="AF317" s="27" t="s">
        <v>179</v>
      </c>
      <c r="AG317" s="35">
        <v>0.15</v>
      </c>
      <c r="AH317" s="33"/>
      <c r="AI317" s="21"/>
    </row>
    <row r="318" spans="1:35" x14ac:dyDescent="0.3">
      <c r="A318" s="31">
        <v>307</v>
      </c>
      <c r="B318" s="32">
        <v>5101234100070</v>
      </c>
      <c r="C318" s="31" t="s">
        <v>2189</v>
      </c>
      <c r="D318" s="31" t="s">
        <v>2072</v>
      </c>
      <c r="E318" s="31" t="s">
        <v>2072</v>
      </c>
      <c r="F318" s="31" t="s">
        <v>1944</v>
      </c>
      <c r="G318" s="31"/>
      <c r="H318" s="31" t="s">
        <v>2189</v>
      </c>
      <c r="I318" s="33">
        <v>1460.66</v>
      </c>
      <c r="J318" s="34">
        <v>0.22</v>
      </c>
      <c r="K318" s="32">
        <v>1782</v>
      </c>
      <c r="L318" s="31">
        <v>1782</v>
      </c>
      <c r="M318" s="31" t="s">
        <v>309</v>
      </c>
      <c r="N318" s="32">
        <v>2690</v>
      </c>
      <c r="O318" s="31" t="s">
        <v>309</v>
      </c>
      <c r="P318" s="31"/>
      <c r="Q318" s="31"/>
      <c r="R318" s="31"/>
      <c r="S318" s="31">
        <v>1</v>
      </c>
      <c r="T318" s="31"/>
      <c r="U318" s="31"/>
      <c r="V318" s="31"/>
      <c r="W318" s="31">
        <v>360</v>
      </c>
      <c r="X318" s="32">
        <v>410</v>
      </c>
      <c r="Y318" s="31">
        <v>350</v>
      </c>
      <c r="Z318" s="31" t="s">
        <v>889</v>
      </c>
      <c r="AA318" s="31"/>
      <c r="AB318" s="23">
        <f>_xlfn.XLOOKUP(E318,nomen!A:A,nomen!C:C,0)</f>
        <v>0</v>
      </c>
      <c r="AC318" s="31"/>
      <c r="AD318" s="31"/>
      <c r="AE318" s="31"/>
      <c r="AF318" s="27" t="s">
        <v>179</v>
      </c>
      <c r="AG318" s="35">
        <v>1.56</v>
      </c>
      <c r="AH318" s="33"/>
      <c r="AI318" s="21"/>
    </row>
    <row r="319" spans="1:35" x14ac:dyDescent="0.3">
      <c r="A319" s="31">
        <v>308</v>
      </c>
      <c r="B319" s="32">
        <v>2003961876002</v>
      </c>
      <c r="C319" s="31" t="s">
        <v>2190</v>
      </c>
      <c r="D319" s="31" t="s">
        <v>2092</v>
      </c>
      <c r="E319" s="31" t="s">
        <v>2092</v>
      </c>
      <c r="F319" s="31" t="s">
        <v>1944</v>
      </c>
      <c r="G319" s="31"/>
      <c r="H319" s="31" t="s">
        <v>2190</v>
      </c>
      <c r="I319" s="33">
        <v>146.72</v>
      </c>
      <c r="J319" s="34">
        <v>0.22</v>
      </c>
      <c r="K319" s="32">
        <v>179</v>
      </c>
      <c r="L319" s="31">
        <v>179</v>
      </c>
      <c r="M319" s="31" t="s">
        <v>309</v>
      </c>
      <c r="N319" s="32">
        <v>270</v>
      </c>
      <c r="O319" s="31" t="s">
        <v>309</v>
      </c>
      <c r="P319" s="31"/>
      <c r="Q319" s="31"/>
      <c r="R319" s="31"/>
      <c r="S319" s="31">
        <v>1</v>
      </c>
      <c r="T319" s="31"/>
      <c r="U319" s="31"/>
      <c r="V319" s="31"/>
      <c r="W319" s="31">
        <v>40</v>
      </c>
      <c r="X319" s="32">
        <v>310</v>
      </c>
      <c r="Y319" s="31">
        <v>150</v>
      </c>
      <c r="Z319" s="31" t="s">
        <v>889</v>
      </c>
      <c r="AA319" s="31"/>
      <c r="AB319" s="23">
        <f>_xlfn.XLOOKUP(E319,nomen!A:A,nomen!C:C,0)</f>
        <v>2479</v>
      </c>
      <c r="AC319" s="31"/>
      <c r="AD319" s="31"/>
      <c r="AE319" s="31"/>
      <c r="AF319" s="27" t="s">
        <v>179</v>
      </c>
      <c r="AG319" s="35">
        <v>0.11</v>
      </c>
      <c r="AH319" s="33"/>
      <c r="AI319" s="21"/>
    </row>
    <row r="320" spans="1:35" x14ac:dyDescent="0.3">
      <c r="A320" s="31">
        <v>309</v>
      </c>
      <c r="B320" s="32">
        <v>5101234100087</v>
      </c>
      <c r="C320" s="31" t="s">
        <v>2191</v>
      </c>
      <c r="D320" s="31" t="s">
        <v>2192</v>
      </c>
      <c r="E320" s="31" t="s">
        <v>2192</v>
      </c>
      <c r="F320" s="31" t="s">
        <v>1944</v>
      </c>
      <c r="G320" s="31"/>
      <c r="H320" s="31" t="s">
        <v>2191</v>
      </c>
      <c r="I320" s="33">
        <v>130.33000000000001</v>
      </c>
      <c r="J320" s="34">
        <v>0.22</v>
      </c>
      <c r="K320" s="32">
        <v>159</v>
      </c>
      <c r="L320" s="31">
        <v>159</v>
      </c>
      <c r="M320" s="31" t="s">
        <v>309</v>
      </c>
      <c r="N320" s="32">
        <v>240</v>
      </c>
      <c r="O320" s="31" t="s">
        <v>309</v>
      </c>
      <c r="P320" s="31"/>
      <c r="Q320" s="31"/>
      <c r="R320" s="31"/>
      <c r="S320" s="31">
        <v>1</v>
      </c>
      <c r="T320" s="31"/>
      <c r="U320" s="31"/>
      <c r="V320" s="31"/>
      <c r="W320" s="31">
        <v>100</v>
      </c>
      <c r="X320" s="32">
        <v>280</v>
      </c>
      <c r="Y320" s="31">
        <v>20</v>
      </c>
      <c r="Z320" s="31" t="s">
        <v>889</v>
      </c>
      <c r="AA320" s="31"/>
      <c r="AB320" s="23">
        <f>_xlfn.XLOOKUP(E320,nomen!A:A,nomen!C:C,0)</f>
        <v>1295</v>
      </c>
      <c r="AC320" s="31"/>
      <c r="AD320" s="31"/>
      <c r="AE320" s="31"/>
      <c r="AF320" s="27" t="s">
        <v>179</v>
      </c>
      <c r="AG320" s="35">
        <v>0.11</v>
      </c>
      <c r="AH320" s="33"/>
      <c r="AI320" s="21"/>
    </row>
    <row r="321" spans="1:35" x14ac:dyDescent="0.3">
      <c r="A321" s="31">
        <v>310</v>
      </c>
      <c r="B321" s="32">
        <v>4673746970799</v>
      </c>
      <c r="C321" s="31" t="s">
        <v>2193</v>
      </c>
      <c r="D321" s="31" t="s">
        <v>1873</v>
      </c>
      <c r="E321" s="31" t="s">
        <v>1873</v>
      </c>
      <c r="F321" s="31" t="s">
        <v>1944</v>
      </c>
      <c r="G321" s="31"/>
      <c r="H321" s="31" t="s">
        <v>2193</v>
      </c>
      <c r="I321" s="33">
        <v>2824.59</v>
      </c>
      <c r="J321" s="34">
        <v>0.22</v>
      </c>
      <c r="K321" s="32">
        <v>3446</v>
      </c>
      <c r="L321" s="31">
        <v>3446</v>
      </c>
      <c r="M321" s="31" t="s">
        <v>309</v>
      </c>
      <c r="N321" s="32">
        <v>5490</v>
      </c>
      <c r="O321" s="31" t="s">
        <v>309</v>
      </c>
      <c r="P321" s="31"/>
      <c r="Q321" s="31"/>
      <c r="R321" s="31"/>
      <c r="S321" s="31">
        <v>1</v>
      </c>
      <c r="T321" s="31"/>
      <c r="U321" s="31"/>
      <c r="V321" s="31"/>
      <c r="W321" s="31">
        <v>200</v>
      </c>
      <c r="X321" s="32">
        <v>260</v>
      </c>
      <c r="Y321" s="31">
        <v>150</v>
      </c>
      <c r="Z321" s="31" t="s">
        <v>889</v>
      </c>
      <c r="AA321" s="31"/>
      <c r="AB321" s="23">
        <f>_xlfn.XLOOKUP(E321,nomen!A:A,nomen!C:C,0)</f>
        <v>121</v>
      </c>
      <c r="AC321" s="31"/>
      <c r="AD321" s="31"/>
      <c r="AE321" s="31"/>
      <c r="AF321" s="27" t="s">
        <v>179</v>
      </c>
      <c r="AG321" s="35">
        <v>5.2</v>
      </c>
      <c r="AH321" s="33"/>
      <c r="AI321" s="21"/>
    </row>
    <row r="322" spans="1:35" x14ac:dyDescent="0.3">
      <c r="A322" s="31">
        <v>311</v>
      </c>
      <c r="B322" s="32">
        <v>4673746971864</v>
      </c>
      <c r="C322" s="31" t="s">
        <v>2194</v>
      </c>
      <c r="D322" s="31" t="s">
        <v>2088</v>
      </c>
      <c r="E322" s="31" t="s">
        <v>2088</v>
      </c>
      <c r="F322" s="31" t="s">
        <v>1944</v>
      </c>
      <c r="G322" s="31"/>
      <c r="H322" s="31" t="s">
        <v>2194</v>
      </c>
      <c r="I322" s="33">
        <v>49.18</v>
      </c>
      <c r="J322" s="34">
        <v>0.22</v>
      </c>
      <c r="K322" s="32">
        <v>60</v>
      </c>
      <c r="L322" s="31">
        <v>60</v>
      </c>
      <c r="M322" s="31" t="s">
        <v>309</v>
      </c>
      <c r="N322" s="32">
        <v>90</v>
      </c>
      <c r="O322" s="31" t="s">
        <v>309</v>
      </c>
      <c r="P322" s="31"/>
      <c r="Q322" s="31"/>
      <c r="R322" s="31"/>
      <c r="S322" s="31">
        <v>1</v>
      </c>
      <c r="T322" s="31"/>
      <c r="U322" s="31"/>
      <c r="V322" s="31"/>
      <c r="W322" s="31">
        <v>30</v>
      </c>
      <c r="X322" s="32">
        <v>130</v>
      </c>
      <c r="Y322" s="31">
        <v>130</v>
      </c>
      <c r="Z322" s="31" t="s">
        <v>889</v>
      </c>
      <c r="AA322" s="31"/>
      <c r="AB322" s="23">
        <f>_xlfn.XLOOKUP(E322,nomen!A:A,nomen!C:C,0)</f>
        <v>2375</v>
      </c>
      <c r="AC322" s="31"/>
      <c r="AD322" s="31"/>
      <c r="AE322" s="31"/>
      <c r="AF322" s="27" t="s">
        <v>179</v>
      </c>
      <c r="AG322" s="35">
        <v>7.0000000000000007E-2</v>
      </c>
      <c r="AH322" s="33"/>
      <c r="AI322" s="21"/>
    </row>
    <row r="323" spans="1:35" x14ac:dyDescent="0.3">
      <c r="A323" s="31">
        <v>312</v>
      </c>
      <c r="B323" s="32">
        <v>5101234100094</v>
      </c>
      <c r="C323" s="31" t="s">
        <v>2195</v>
      </c>
      <c r="D323" s="31" t="s">
        <v>1661</v>
      </c>
      <c r="E323" s="31" t="s">
        <v>1661</v>
      </c>
      <c r="F323" s="31" t="s">
        <v>1944</v>
      </c>
      <c r="G323" s="31"/>
      <c r="H323" s="31" t="s">
        <v>2195</v>
      </c>
      <c r="I323" s="33">
        <v>12260.66</v>
      </c>
      <c r="J323" s="34">
        <v>0.22</v>
      </c>
      <c r="K323" s="32">
        <v>14958</v>
      </c>
      <c r="L323" s="31">
        <v>14958</v>
      </c>
      <c r="M323" s="31" t="s">
        <v>309</v>
      </c>
      <c r="N323" s="32">
        <v>19990</v>
      </c>
      <c r="O323" s="31" t="s">
        <v>309</v>
      </c>
      <c r="P323" s="31"/>
      <c r="Q323" s="31"/>
      <c r="R323" s="31"/>
      <c r="S323" s="31">
        <v>1</v>
      </c>
      <c r="T323" s="31"/>
      <c r="U323" s="31"/>
      <c r="V323" s="31"/>
      <c r="W323" s="31">
        <v>120</v>
      </c>
      <c r="X323" s="32">
        <v>110</v>
      </c>
      <c r="Y323" s="31">
        <v>100</v>
      </c>
      <c r="Z323" s="31" t="s">
        <v>889</v>
      </c>
      <c r="AA323" s="31"/>
      <c r="AB323" s="23">
        <f>_xlfn.XLOOKUP(E323,nomen!A:A,nomen!C:C,0)</f>
        <v>17</v>
      </c>
      <c r="AC323" s="31"/>
      <c r="AD323" s="31"/>
      <c r="AE323" s="31"/>
      <c r="AF323" s="27" t="s">
        <v>179</v>
      </c>
      <c r="AG323" s="35">
        <v>1.2</v>
      </c>
      <c r="AH323" s="33"/>
      <c r="AI323" s="21"/>
    </row>
    <row r="324" spans="1:35" x14ac:dyDescent="0.3">
      <c r="A324" s="31">
        <v>313</v>
      </c>
      <c r="B324" s="32">
        <v>5101234100100</v>
      </c>
      <c r="C324" s="31" t="s">
        <v>2196</v>
      </c>
      <c r="D324" s="31" t="s">
        <v>1711</v>
      </c>
      <c r="E324" s="31" t="s">
        <v>1711</v>
      </c>
      <c r="F324" s="31" t="s">
        <v>1944</v>
      </c>
      <c r="G324" s="31"/>
      <c r="H324" s="31" t="s">
        <v>2196</v>
      </c>
      <c r="I324" s="33">
        <v>2754.1</v>
      </c>
      <c r="J324" s="34">
        <v>0.22</v>
      </c>
      <c r="K324" s="32">
        <v>3360</v>
      </c>
      <c r="L324" s="31">
        <v>3360</v>
      </c>
      <c r="M324" s="31" t="s">
        <v>309</v>
      </c>
      <c r="N324" s="32">
        <v>4490</v>
      </c>
      <c r="O324" s="31" t="s">
        <v>309</v>
      </c>
      <c r="P324" s="31"/>
      <c r="Q324" s="31"/>
      <c r="R324" s="31"/>
      <c r="S324" s="31">
        <v>1</v>
      </c>
      <c r="T324" s="31"/>
      <c r="U324" s="31"/>
      <c r="V324" s="31"/>
      <c r="W324" s="31">
        <v>80</v>
      </c>
      <c r="X324" s="32">
        <v>180</v>
      </c>
      <c r="Y324" s="31">
        <v>230</v>
      </c>
      <c r="Z324" s="31" t="s">
        <v>889</v>
      </c>
      <c r="AA324" s="31"/>
      <c r="AB324" s="23">
        <f>_xlfn.XLOOKUP(E324,nomen!A:A,nomen!C:C,0)</f>
        <v>66</v>
      </c>
      <c r="AC324" s="31"/>
      <c r="AD324" s="31"/>
      <c r="AE324" s="31"/>
      <c r="AF324" s="27" t="s">
        <v>179</v>
      </c>
      <c r="AG324" s="35">
        <v>0.7</v>
      </c>
      <c r="AH324" s="33"/>
      <c r="AI324" s="21"/>
    </row>
    <row r="325" spans="1:35" x14ac:dyDescent="0.3">
      <c r="A325" s="31">
        <v>314</v>
      </c>
      <c r="B325" s="32">
        <v>4673746972724</v>
      </c>
      <c r="C325" s="31" t="s">
        <v>2197</v>
      </c>
      <c r="D325" s="31" t="s">
        <v>1597</v>
      </c>
      <c r="E325" s="31" t="s">
        <v>1597</v>
      </c>
      <c r="F325" s="31" t="s">
        <v>1944</v>
      </c>
      <c r="G325" s="31"/>
      <c r="H325" s="31" t="s">
        <v>2197</v>
      </c>
      <c r="I325" s="33">
        <v>646.72</v>
      </c>
      <c r="J325" s="34">
        <v>0.22</v>
      </c>
      <c r="K325" s="32">
        <v>789</v>
      </c>
      <c r="L325" s="31">
        <v>789</v>
      </c>
      <c r="M325" s="31" t="s">
        <v>309</v>
      </c>
      <c r="N325" s="32">
        <v>1190</v>
      </c>
      <c r="O325" s="31" t="s">
        <v>309</v>
      </c>
      <c r="P325" s="31"/>
      <c r="Q325" s="31"/>
      <c r="R325" s="31"/>
      <c r="S325" s="31">
        <v>1</v>
      </c>
      <c r="T325" s="31"/>
      <c r="U325" s="31"/>
      <c r="V325" s="31"/>
      <c r="W325" s="31">
        <v>100</v>
      </c>
      <c r="X325" s="32">
        <v>30</v>
      </c>
      <c r="Y325" s="31">
        <v>50</v>
      </c>
      <c r="Z325" s="31" t="s">
        <v>889</v>
      </c>
      <c r="AA325" s="31"/>
      <c r="AB325" s="23">
        <f>_xlfn.XLOOKUP(E325,nomen!A:A,nomen!C:C,0)</f>
        <v>202</v>
      </c>
      <c r="AC325" s="31"/>
      <c r="AD325" s="31"/>
      <c r="AE325" s="31"/>
      <c r="AF325" s="27" t="s">
        <v>179</v>
      </c>
      <c r="AG325" s="35">
        <v>0.1</v>
      </c>
      <c r="AH325" s="33"/>
      <c r="AI325" s="21"/>
    </row>
    <row r="326" spans="1:35" x14ac:dyDescent="0.3">
      <c r="A326" s="31">
        <v>315</v>
      </c>
      <c r="B326" s="32">
        <v>4673746970621</v>
      </c>
      <c r="C326" s="31" t="s">
        <v>2198</v>
      </c>
      <c r="D326" s="31" t="s">
        <v>1611</v>
      </c>
      <c r="E326" s="31" t="s">
        <v>1611</v>
      </c>
      <c r="F326" s="31" t="s">
        <v>1944</v>
      </c>
      <c r="G326" s="31"/>
      <c r="H326" s="31" t="s">
        <v>2198</v>
      </c>
      <c r="I326" s="33">
        <v>1590.16</v>
      </c>
      <c r="J326" s="34">
        <v>0.22</v>
      </c>
      <c r="K326" s="32">
        <v>1940</v>
      </c>
      <c r="L326" s="31">
        <v>1940</v>
      </c>
      <c r="M326" s="31" t="s">
        <v>309</v>
      </c>
      <c r="N326" s="32">
        <v>3090</v>
      </c>
      <c r="O326" s="31" t="s">
        <v>309</v>
      </c>
      <c r="P326" s="31"/>
      <c r="Q326" s="31"/>
      <c r="R326" s="31"/>
      <c r="S326" s="31">
        <v>1</v>
      </c>
      <c r="T326" s="31"/>
      <c r="U326" s="31"/>
      <c r="V326" s="31"/>
      <c r="W326" s="31">
        <v>230</v>
      </c>
      <c r="X326" s="32">
        <v>80</v>
      </c>
      <c r="Y326" s="31">
        <v>80</v>
      </c>
      <c r="Z326" s="31" t="s">
        <v>889</v>
      </c>
      <c r="AA326" s="31"/>
      <c r="AB326" s="23">
        <f>_xlfn.XLOOKUP(E326,nomen!A:A,nomen!C:C,0)</f>
        <v>204</v>
      </c>
      <c r="AC326" s="31"/>
      <c r="AD326" s="31"/>
      <c r="AE326" s="31"/>
      <c r="AF326" s="27" t="s">
        <v>179</v>
      </c>
      <c r="AG326" s="35">
        <v>0.66</v>
      </c>
      <c r="AH326" s="33"/>
      <c r="AI326" s="21"/>
    </row>
    <row r="327" spans="1:35" x14ac:dyDescent="0.3">
      <c r="A327" s="31">
        <v>316</v>
      </c>
      <c r="B327" s="32">
        <v>2020600825009</v>
      </c>
      <c r="C327" s="31" t="s">
        <v>2199</v>
      </c>
      <c r="D327" s="31" t="s">
        <v>2200</v>
      </c>
      <c r="E327" s="31" t="s">
        <v>2200</v>
      </c>
      <c r="F327" s="31" t="s">
        <v>1944</v>
      </c>
      <c r="G327" s="31"/>
      <c r="H327" s="31" t="s">
        <v>2199</v>
      </c>
      <c r="I327" s="33">
        <v>174.59</v>
      </c>
      <c r="J327" s="34">
        <v>0.22</v>
      </c>
      <c r="K327" s="32">
        <v>213</v>
      </c>
      <c r="L327" s="31">
        <v>213</v>
      </c>
      <c r="M327" s="31" t="s">
        <v>309</v>
      </c>
      <c r="N327" s="32">
        <v>321</v>
      </c>
      <c r="O327" s="31" t="s">
        <v>309</v>
      </c>
      <c r="P327" s="31"/>
      <c r="Q327" s="31"/>
      <c r="R327" s="31"/>
      <c r="S327" s="31">
        <v>1</v>
      </c>
      <c r="T327" s="31"/>
      <c r="U327" s="31"/>
      <c r="V327" s="31"/>
      <c r="W327" s="31">
        <v>40</v>
      </c>
      <c r="X327" s="32">
        <v>200</v>
      </c>
      <c r="Y327" s="31">
        <v>200</v>
      </c>
      <c r="Z327" s="31" t="s">
        <v>889</v>
      </c>
      <c r="AA327" s="31"/>
      <c r="AB327" s="23">
        <f>_xlfn.XLOOKUP(E327,nomen!A:A,nomen!C:C,0)</f>
        <v>0</v>
      </c>
      <c r="AC327" s="31"/>
      <c r="AD327" s="31"/>
      <c r="AE327" s="31"/>
      <c r="AF327" s="27" t="s">
        <v>179</v>
      </c>
      <c r="AG327" s="35">
        <v>6.0999999999999999E-2</v>
      </c>
      <c r="AH327" s="33"/>
      <c r="AI327" s="21"/>
    </row>
    <row r="328" spans="1:35" x14ac:dyDescent="0.3">
      <c r="A328" s="31">
        <v>317</v>
      </c>
      <c r="B328" s="32">
        <v>5197280512905</v>
      </c>
      <c r="C328" s="31" t="s">
        <v>2201</v>
      </c>
      <c r="D328" s="31" t="s">
        <v>1564</v>
      </c>
      <c r="E328" s="31" t="s">
        <v>1564</v>
      </c>
      <c r="F328" s="31" t="s">
        <v>1944</v>
      </c>
      <c r="G328" s="31"/>
      <c r="H328" s="31" t="s">
        <v>2201</v>
      </c>
      <c r="I328" s="33">
        <v>104.1</v>
      </c>
      <c r="J328" s="34">
        <v>0.22</v>
      </c>
      <c r="K328" s="32">
        <v>127</v>
      </c>
      <c r="L328" s="31">
        <v>127</v>
      </c>
      <c r="M328" s="31" t="s">
        <v>309</v>
      </c>
      <c r="N328" s="32">
        <v>190</v>
      </c>
      <c r="O328" s="31" t="s">
        <v>309</v>
      </c>
      <c r="P328" s="31"/>
      <c r="Q328" s="31"/>
      <c r="R328" s="31"/>
      <c r="S328" s="31">
        <v>1</v>
      </c>
      <c r="T328" s="31"/>
      <c r="U328" s="31"/>
      <c r="V328" s="31"/>
      <c r="W328" s="31">
        <v>30</v>
      </c>
      <c r="X328" s="32">
        <v>200</v>
      </c>
      <c r="Y328" s="31">
        <v>20</v>
      </c>
      <c r="Z328" s="31" t="s">
        <v>889</v>
      </c>
      <c r="AA328" s="31"/>
      <c r="AB328" s="23">
        <f>_xlfn.XLOOKUP(E328,nomen!A:A,nomen!C:C,0)</f>
        <v>2394</v>
      </c>
      <c r="AC328" s="31"/>
      <c r="AD328" s="31"/>
      <c r="AE328" s="31"/>
      <c r="AF328" s="27" t="s">
        <v>179</v>
      </c>
      <c r="AG328" s="35">
        <v>0.1</v>
      </c>
      <c r="AH328" s="33"/>
      <c r="AI328" s="21"/>
    </row>
    <row r="329" spans="1:35" x14ac:dyDescent="0.3">
      <c r="A329" s="31">
        <v>318</v>
      </c>
      <c r="B329" s="32">
        <v>5101234100117</v>
      </c>
      <c r="C329" s="31" t="s">
        <v>2202</v>
      </c>
      <c r="D329" s="31" t="s">
        <v>2203</v>
      </c>
      <c r="E329" s="31" t="s">
        <v>2203</v>
      </c>
      <c r="F329" s="31" t="s">
        <v>1944</v>
      </c>
      <c r="G329" s="31"/>
      <c r="H329" s="31" t="s">
        <v>2202</v>
      </c>
      <c r="I329" s="33">
        <v>212.3</v>
      </c>
      <c r="J329" s="34">
        <v>0.22</v>
      </c>
      <c r="K329" s="32">
        <v>259</v>
      </c>
      <c r="L329" s="31">
        <v>259</v>
      </c>
      <c r="M329" s="31" t="s">
        <v>309</v>
      </c>
      <c r="N329" s="32">
        <v>390</v>
      </c>
      <c r="O329" s="31" t="s">
        <v>309</v>
      </c>
      <c r="P329" s="31"/>
      <c r="Q329" s="31"/>
      <c r="R329" s="31"/>
      <c r="S329" s="31">
        <v>1</v>
      </c>
      <c r="T329" s="31"/>
      <c r="U329" s="31"/>
      <c r="V329" s="31"/>
      <c r="W329" s="31">
        <v>70</v>
      </c>
      <c r="X329" s="32">
        <v>320</v>
      </c>
      <c r="Y329" s="31">
        <v>110</v>
      </c>
      <c r="Z329" s="31" t="s">
        <v>889</v>
      </c>
      <c r="AA329" s="31"/>
      <c r="AB329" s="23">
        <f>_xlfn.XLOOKUP(E329,nomen!A:A,nomen!C:C,0)</f>
        <v>0</v>
      </c>
      <c r="AC329" s="31"/>
      <c r="AD329" s="31"/>
      <c r="AE329" s="31"/>
      <c r="AF329" s="27" t="s">
        <v>179</v>
      </c>
      <c r="AG329" s="35">
        <v>0.2</v>
      </c>
      <c r="AH329" s="33"/>
      <c r="AI329" s="21"/>
    </row>
    <row r="330" spans="1:35" x14ac:dyDescent="0.3">
      <c r="A330" s="31">
        <v>319</v>
      </c>
      <c r="B330" s="32">
        <v>2000649173309</v>
      </c>
      <c r="C330" s="31" t="s">
        <v>2204</v>
      </c>
      <c r="D330" s="31" t="s">
        <v>1663</v>
      </c>
      <c r="E330" s="31" t="s">
        <v>1663</v>
      </c>
      <c r="F330" s="31" t="s">
        <v>1944</v>
      </c>
      <c r="G330" s="31"/>
      <c r="H330" s="31" t="s">
        <v>2204</v>
      </c>
      <c r="I330" s="33">
        <v>2412.3000000000002</v>
      </c>
      <c r="J330" s="34">
        <v>0.22</v>
      </c>
      <c r="K330" s="32">
        <v>2943</v>
      </c>
      <c r="L330" s="31">
        <v>2943</v>
      </c>
      <c r="M330" s="31" t="s">
        <v>309</v>
      </c>
      <c r="N330" s="32">
        <v>4690</v>
      </c>
      <c r="O330" s="31" t="s">
        <v>309</v>
      </c>
      <c r="P330" s="31"/>
      <c r="Q330" s="31"/>
      <c r="R330" s="31"/>
      <c r="S330" s="31">
        <v>1</v>
      </c>
      <c r="T330" s="31"/>
      <c r="U330" s="31"/>
      <c r="V330" s="31"/>
      <c r="W330" s="31">
        <v>60</v>
      </c>
      <c r="X330" s="32">
        <v>130</v>
      </c>
      <c r="Y330" s="31">
        <v>130</v>
      </c>
      <c r="Z330" s="31" t="s">
        <v>889</v>
      </c>
      <c r="AA330" s="31"/>
      <c r="AB330" s="23">
        <f>_xlfn.XLOOKUP(E330,nomen!A:A,nomen!C:C,0)</f>
        <v>9</v>
      </c>
      <c r="AC330" s="31"/>
      <c r="AD330" s="31"/>
      <c r="AE330" s="31"/>
      <c r="AF330" s="27" t="s">
        <v>179</v>
      </c>
      <c r="AG330" s="35">
        <v>0.23</v>
      </c>
      <c r="AH330" s="33"/>
      <c r="AI330" s="21"/>
    </row>
    <row r="331" spans="1:35" x14ac:dyDescent="0.3">
      <c r="A331" s="31">
        <v>320</v>
      </c>
      <c r="B331" s="32">
        <v>4673746971499</v>
      </c>
      <c r="C331" s="31" t="s">
        <v>2205</v>
      </c>
      <c r="D331" s="31" t="s">
        <v>2128</v>
      </c>
      <c r="E331" s="31" t="s">
        <v>2128</v>
      </c>
      <c r="F331" s="31" t="s">
        <v>1944</v>
      </c>
      <c r="G331" s="31"/>
      <c r="H331" s="31" t="s">
        <v>2205</v>
      </c>
      <c r="I331" s="33">
        <v>150</v>
      </c>
      <c r="J331" s="34">
        <v>0.22</v>
      </c>
      <c r="K331" s="32">
        <v>183</v>
      </c>
      <c r="L331" s="31">
        <v>183</v>
      </c>
      <c r="M331" s="31" t="s">
        <v>309</v>
      </c>
      <c r="N331" s="32">
        <v>290</v>
      </c>
      <c r="O331" s="31" t="s">
        <v>309</v>
      </c>
      <c r="P331" s="31"/>
      <c r="Q331" s="31"/>
      <c r="R331" s="31"/>
      <c r="S331" s="31">
        <v>1</v>
      </c>
      <c r="T331" s="31"/>
      <c r="U331" s="31"/>
      <c r="V331" s="31"/>
      <c r="W331" s="31">
        <v>230</v>
      </c>
      <c r="X331" s="32">
        <v>80</v>
      </c>
      <c r="Y331" s="31">
        <v>80</v>
      </c>
      <c r="Z331" s="31" t="s">
        <v>889</v>
      </c>
      <c r="AA331" s="31"/>
      <c r="AB331" s="23">
        <f>_xlfn.XLOOKUP(E331,nomen!A:A,nomen!C:C,0)</f>
        <v>797</v>
      </c>
      <c r="AC331" s="31"/>
      <c r="AD331" s="31"/>
      <c r="AE331" s="31"/>
      <c r="AF331" s="27" t="s">
        <v>179</v>
      </c>
      <c r="AG331" s="35">
        <v>0.78</v>
      </c>
      <c r="AH331" s="33"/>
      <c r="AI331" s="21"/>
    </row>
    <row r="332" spans="1:35" x14ac:dyDescent="0.3">
      <c r="A332" s="31">
        <v>321</v>
      </c>
      <c r="B332" s="32">
        <v>5101234100124</v>
      </c>
      <c r="C332" s="31" t="s">
        <v>2206</v>
      </c>
      <c r="D332" s="31" t="s">
        <v>2207</v>
      </c>
      <c r="E332" s="31" t="s">
        <v>2207</v>
      </c>
      <c r="F332" s="31" t="s">
        <v>1944</v>
      </c>
      <c r="G332" s="31"/>
      <c r="H332" s="31" t="s">
        <v>2206</v>
      </c>
      <c r="I332" s="33">
        <v>266.39</v>
      </c>
      <c r="J332" s="34">
        <v>0.22</v>
      </c>
      <c r="K332" s="32">
        <v>325</v>
      </c>
      <c r="L332" s="31">
        <v>325</v>
      </c>
      <c r="M332" s="31" t="s">
        <v>309</v>
      </c>
      <c r="N332" s="32">
        <v>490</v>
      </c>
      <c r="O332" s="31" t="s">
        <v>309</v>
      </c>
      <c r="P332" s="31"/>
      <c r="Q332" s="31"/>
      <c r="R332" s="31"/>
      <c r="S332" s="31">
        <v>1</v>
      </c>
      <c r="T332" s="31"/>
      <c r="U332" s="31"/>
      <c r="V332" s="31"/>
      <c r="W332" s="31">
        <v>70</v>
      </c>
      <c r="X332" s="32">
        <v>270</v>
      </c>
      <c r="Y332" s="31">
        <v>270</v>
      </c>
      <c r="Z332" s="31" t="s">
        <v>889</v>
      </c>
      <c r="AA332" s="31"/>
      <c r="AB332" s="23">
        <f>_xlfn.XLOOKUP(E332,nomen!A:A,nomen!C:C,0)</f>
        <v>0</v>
      </c>
      <c r="AC332" s="31"/>
      <c r="AD332" s="31"/>
      <c r="AE332" s="31"/>
      <c r="AF332" s="27" t="s">
        <v>179</v>
      </c>
      <c r="AG332" s="35">
        <v>0.22</v>
      </c>
      <c r="AH332" s="33"/>
      <c r="AI332" s="21"/>
    </row>
    <row r="333" spans="1:35" x14ac:dyDescent="0.3">
      <c r="A333" s="31">
        <v>322</v>
      </c>
      <c r="B333" s="32">
        <v>4673746971789</v>
      </c>
      <c r="C333" s="31" t="s">
        <v>2208</v>
      </c>
      <c r="D333" s="31" t="s">
        <v>1563</v>
      </c>
      <c r="E333" s="31" t="s">
        <v>1563</v>
      </c>
      <c r="F333" s="31" t="s">
        <v>1944</v>
      </c>
      <c r="G333" s="31"/>
      <c r="H333" s="31" t="s">
        <v>2208</v>
      </c>
      <c r="I333" s="33">
        <v>109.02</v>
      </c>
      <c r="J333" s="34">
        <v>0.22</v>
      </c>
      <c r="K333" s="32">
        <v>133</v>
      </c>
      <c r="L333" s="31">
        <v>133</v>
      </c>
      <c r="M333" s="31" t="s">
        <v>309</v>
      </c>
      <c r="N333" s="32">
        <v>200</v>
      </c>
      <c r="O333" s="31" t="s">
        <v>309</v>
      </c>
      <c r="P333" s="31"/>
      <c r="Q333" s="31"/>
      <c r="R333" s="31"/>
      <c r="S333" s="31">
        <v>1</v>
      </c>
      <c r="T333" s="31"/>
      <c r="U333" s="31"/>
      <c r="V333" s="31"/>
      <c r="W333" s="31">
        <v>50</v>
      </c>
      <c r="X333" s="32">
        <v>200</v>
      </c>
      <c r="Y333" s="31">
        <v>100</v>
      </c>
      <c r="Z333" s="31" t="s">
        <v>889</v>
      </c>
      <c r="AA333" s="31"/>
      <c r="AB333" s="23">
        <f>_xlfn.XLOOKUP(E333,nomen!A:A,nomen!C:C,0)</f>
        <v>2120</v>
      </c>
      <c r="AC333" s="31"/>
      <c r="AD333" s="31"/>
      <c r="AE333" s="31"/>
      <c r="AF333" s="27" t="s">
        <v>179</v>
      </c>
      <c r="AG333" s="35">
        <v>0.1</v>
      </c>
      <c r="AH333" s="33"/>
      <c r="AI333" s="21"/>
    </row>
    <row r="334" spans="1:35" x14ac:dyDescent="0.3">
      <c r="A334" s="31">
        <v>323</v>
      </c>
      <c r="B334" s="32">
        <v>4673746971512</v>
      </c>
      <c r="C334" s="31" t="s">
        <v>2209</v>
      </c>
      <c r="D334" s="31" t="s">
        <v>1602</v>
      </c>
      <c r="E334" s="31" t="s">
        <v>1602</v>
      </c>
      <c r="F334" s="31" t="s">
        <v>1944</v>
      </c>
      <c r="G334" s="31"/>
      <c r="H334" s="31" t="s">
        <v>2209</v>
      </c>
      <c r="I334" s="33">
        <v>1024.5899999999999</v>
      </c>
      <c r="J334" s="34">
        <v>0.22</v>
      </c>
      <c r="K334" s="32">
        <v>1250</v>
      </c>
      <c r="L334" s="31">
        <v>1250</v>
      </c>
      <c r="M334" s="31" t="s">
        <v>309</v>
      </c>
      <c r="N334" s="32">
        <v>1990</v>
      </c>
      <c r="O334" s="31" t="s">
        <v>309</v>
      </c>
      <c r="P334" s="31"/>
      <c r="Q334" s="31"/>
      <c r="R334" s="31"/>
      <c r="S334" s="31">
        <v>1</v>
      </c>
      <c r="T334" s="31"/>
      <c r="U334" s="31"/>
      <c r="V334" s="31"/>
      <c r="W334" s="31">
        <v>280</v>
      </c>
      <c r="X334" s="32">
        <v>180</v>
      </c>
      <c r="Y334" s="31">
        <v>160</v>
      </c>
      <c r="Z334" s="31" t="s">
        <v>889</v>
      </c>
      <c r="AA334" s="31"/>
      <c r="AB334" s="23">
        <f>_xlfn.XLOOKUP(E334,nomen!A:A,nomen!C:C,0)</f>
        <v>166</v>
      </c>
      <c r="AC334" s="31"/>
      <c r="AD334" s="31"/>
      <c r="AE334" s="31"/>
      <c r="AF334" s="27" t="s">
        <v>179</v>
      </c>
      <c r="AG334" s="35">
        <v>5</v>
      </c>
      <c r="AH334" s="33"/>
      <c r="AI334" s="21"/>
    </row>
    <row r="335" spans="1:35" x14ac:dyDescent="0.3">
      <c r="A335" s="31">
        <v>324</v>
      </c>
      <c r="B335" s="32">
        <v>5101234100131</v>
      </c>
      <c r="C335" s="31" t="s">
        <v>2210</v>
      </c>
      <c r="D335" s="31" t="s">
        <v>2083</v>
      </c>
      <c r="E335" s="31" t="s">
        <v>2083</v>
      </c>
      <c r="F335" s="31" t="s">
        <v>1944</v>
      </c>
      <c r="G335" s="31"/>
      <c r="H335" s="31" t="s">
        <v>2210</v>
      </c>
      <c r="I335" s="33">
        <v>12873.77</v>
      </c>
      <c r="J335" s="34">
        <v>0.22</v>
      </c>
      <c r="K335" s="32">
        <v>15706</v>
      </c>
      <c r="L335" s="31">
        <v>15706</v>
      </c>
      <c r="M335" s="31" t="s">
        <v>309</v>
      </c>
      <c r="N335" s="32">
        <v>20990</v>
      </c>
      <c r="O335" s="31" t="s">
        <v>309</v>
      </c>
      <c r="P335" s="31"/>
      <c r="Q335" s="31"/>
      <c r="R335" s="31"/>
      <c r="S335" s="31">
        <v>1</v>
      </c>
      <c r="T335" s="31"/>
      <c r="U335" s="31"/>
      <c r="V335" s="31"/>
      <c r="W335" s="31">
        <v>430</v>
      </c>
      <c r="X335" s="32">
        <v>430</v>
      </c>
      <c r="Y335" s="31">
        <v>300</v>
      </c>
      <c r="Z335" s="31" t="s">
        <v>889</v>
      </c>
      <c r="AA335" s="31"/>
      <c r="AB335" s="23">
        <f>_xlfn.XLOOKUP(E335,nomen!A:A,nomen!C:C,0)</f>
        <v>8</v>
      </c>
      <c r="AC335" s="31"/>
      <c r="AD335" s="31"/>
      <c r="AE335" s="31"/>
      <c r="AF335" s="27" t="s">
        <v>179</v>
      </c>
      <c r="AG335" s="35">
        <v>8</v>
      </c>
      <c r="AH335" s="33"/>
      <c r="AI335" s="21"/>
    </row>
    <row r="336" spans="1:35" x14ac:dyDescent="0.3">
      <c r="A336" s="31">
        <v>325</v>
      </c>
      <c r="B336" s="32">
        <v>5101234100148</v>
      </c>
      <c r="C336" s="31" t="s">
        <v>2211</v>
      </c>
      <c r="D336" s="31" t="s">
        <v>2212</v>
      </c>
      <c r="E336" s="31" t="s">
        <v>2212</v>
      </c>
      <c r="F336" s="31" t="s">
        <v>1944</v>
      </c>
      <c r="G336" s="31"/>
      <c r="H336" s="31" t="s">
        <v>2211</v>
      </c>
      <c r="I336" s="33">
        <v>9194.26</v>
      </c>
      <c r="J336" s="34">
        <v>0.22</v>
      </c>
      <c r="K336" s="32">
        <v>11217</v>
      </c>
      <c r="L336" s="31">
        <v>11217</v>
      </c>
      <c r="M336" s="31" t="s">
        <v>309</v>
      </c>
      <c r="N336" s="32">
        <v>14990</v>
      </c>
      <c r="O336" s="31" t="s">
        <v>309</v>
      </c>
      <c r="P336" s="31"/>
      <c r="Q336" s="31"/>
      <c r="R336" s="31"/>
      <c r="S336" s="31">
        <v>1</v>
      </c>
      <c r="T336" s="31"/>
      <c r="U336" s="31"/>
      <c r="V336" s="31"/>
      <c r="W336" s="31">
        <v>250</v>
      </c>
      <c r="X336" s="32">
        <v>380</v>
      </c>
      <c r="Y336" s="31">
        <v>150</v>
      </c>
      <c r="Z336" s="31" t="s">
        <v>889</v>
      </c>
      <c r="AA336" s="31"/>
      <c r="AB336" s="23">
        <f>_xlfn.XLOOKUP(E336,nomen!A:A,nomen!C:C,0)</f>
        <v>0</v>
      </c>
      <c r="AC336" s="31"/>
      <c r="AD336" s="31"/>
      <c r="AE336" s="31"/>
      <c r="AF336" s="27" t="s">
        <v>179</v>
      </c>
      <c r="AG336" s="35">
        <v>3.3</v>
      </c>
      <c r="AH336" s="33"/>
      <c r="AI336" s="21"/>
    </row>
    <row r="337" spans="1:35" x14ac:dyDescent="0.3">
      <c r="A337" s="31">
        <v>326</v>
      </c>
      <c r="B337" s="32">
        <v>4610504430782</v>
      </c>
      <c r="C337" s="31" t="s">
        <v>2213</v>
      </c>
      <c r="D337" s="31" t="s">
        <v>2214</v>
      </c>
      <c r="E337" s="31" t="s">
        <v>2214</v>
      </c>
      <c r="F337" s="31" t="s">
        <v>1944</v>
      </c>
      <c r="G337" s="31"/>
      <c r="H337" s="31" t="s">
        <v>2213</v>
      </c>
      <c r="I337" s="33">
        <v>354.92</v>
      </c>
      <c r="J337" s="34">
        <v>0.22</v>
      </c>
      <c r="K337" s="32">
        <v>433</v>
      </c>
      <c r="L337" s="31">
        <v>433</v>
      </c>
      <c r="M337" s="31" t="s">
        <v>309</v>
      </c>
      <c r="N337" s="32">
        <v>690</v>
      </c>
      <c r="O337" s="31" t="s">
        <v>309</v>
      </c>
      <c r="P337" s="31"/>
      <c r="Q337" s="31"/>
      <c r="R337" s="31"/>
      <c r="S337" s="31">
        <v>1</v>
      </c>
      <c r="T337" s="31"/>
      <c r="U337" s="31"/>
      <c r="V337" s="31"/>
      <c r="W337" s="31">
        <v>190</v>
      </c>
      <c r="X337" s="32">
        <v>250</v>
      </c>
      <c r="Y337" s="31">
        <v>150</v>
      </c>
      <c r="Z337" s="31" t="s">
        <v>889</v>
      </c>
      <c r="AA337" s="31"/>
      <c r="AB337" s="23">
        <f>_xlfn.XLOOKUP(E337,nomen!A:A,nomen!C:C,0)</f>
        <v>99</v>
      </c>
      <c r="AC337" s="31"/>
      <c r="AD337" s="31"/>
      <c r="AE337" s="31"/>
      <c r="AF337" s="27" t="s">
        <v>179</v>
      </c>
      <c r="AG337" s="35">
        <v>4.5</v>
      </c>
      <c r="AH337" s="33"/>
      <c r="AI337" s="21"/>
    </row>
    <row r="338" spans="1:35" x14ac:dyDescent="0.3">
      <c r="A338" s="31">
        <v>327</v>
      </c>
      <c r="B338" s="32">
        <v>4673746974018</v>
      </c>
      <c r="C338" s="31" t="s">
        <v>2215</v>
      </c>
      <c r="D338" s="31" t="s">
        <v>2216</v>
      </c>
      <c r="E338" s="31" t="s">
        <v>2216</v>
      </c>
      <c r="F338" s="31" t="s">
        <v>1944</v>
      </c>
      <c r="G338" s="31"/>
      <c r="H338" s="31" t="s">
        <v>2215</v>
      </c>
      <c r="I338" s="33">
        <v>72.95</v>
      </c>
      <c r="J338" s="34">
        <v>0.22</v>
      </c>
      <c r="K338" s="32">
        <v>89</v>
      </c>
      <c r="L338" s="31">
        <v>89</v>
      </c>
      <c r="M338" s="31" t="s">
        <v>309</v>
      </c>
      <c r="N338" s="32">
        <v>140</v>
      </c>
      <c r="O338" s="31" t="s">
        <v>309</v>
      </c>
      <c r="P338" s="31"/>
      <c r="Q338" s="31"/>
      <c r="R338" s="31"/>
      <c r="S338" s="31">
        <v>1</v>
      </c>
      <c r="T338" s="31"/>
      <c r="U338" s="31"/>
      <c r="V338" s="31"/>
      <c r="W338" s="31">
        <v>180</v>
      </c>
      <c r="X338" s="32">
        <v>50</v>
      </c>
      <c r="Y338" s="31">
        <v>50</v>
      </c>
      <c r="Z338" s="31" t="s">
        <v>889</v>
      </c>
      <c r="AA338" s="31"/>
      <c r="AB338" s="23">
        <f>_xlfn.XLOOKUP(E338,nomen!A:A,nomen!C:C,0)</f>
        <v>247</v>
      </c>
      <c r="AC338" s="31"/>
      <c r="AD338" s="31"/>
      <c r="AE338" s="31"/>
      <c r="AF338" s="27" t="s">
        <v>179</v>
      </c>
      <c r="AG338" s="35">
        <v>0.21</v>
      </c>
      <c r="AH338" s="33"/>
      <c r="AI338" s="21"/>
    </row>
    <row r="339" spans="1:35" x14ac:dyDescent="0.3">
      <c r="A339" s="31">
        <v>328</v>
      </c>
      <c r="B339" s="32">
        <v>2000649190580</v>
      </c>
      <c r="C339" s="31" t="s">
        <v>2217</v>
      </c>
      <c r="D339" s="31" t="s">
        <v>2218</v>
      </c>
      <c r="E339" s="31" t="s">
        <v>2218</v>
      </c>
      <c r="F339" s="31" t="s">
        <v>1944</v>
      </c>
      <c r="G339" s="31"/>
      <c r="H339" s="31" t="s">
        <v>2217</v>
      </c>
      <c r="I339" s="33">
        <v>613.11</v>
      </c>
      <c r="J339" s="34">
        <v>0.22</v>
      </c>
      <c r="K339" s="32">
        <v>748</v>
      </c>
      <c r="L339" s="31">
        <v>748</v>
      </c>
      <c r="M339" s="31" t="s">
        <v>309</v>
      </c>
      <c r="N339" s="32">
        <v>1190</v>
      </c>
      <c r="O339" s="31" t="s">
        <v>309</v>
      </c>
      <c r="P339" s="31"/>
      <c r="Q339" s="31"/>
      <c r="R339" s="31"/>
      <c r="S339" s="31">
        <v>1</v>
      </c>
      <c r="T339" s="31"/>
      <c r="U339" s="31"/>
      <c r="V339" s="31"/>
      <c r="W339" s="31">
        <v>100</v>
      </c>
      <c r="X339" s="32">
        <v>50</v>
      </c>
      <c r="Y339" s="31">
        <v>50</v>
      </c>
      <c r="Z339" s="31" t="s">
        <v>889</v>
      </c>
      <c r="AA339" s="31"/>
      <c r="AB339" s="23">
        <f>_xlfn.XLOOKUP(E339,nomen!A:A,nomen!C:C,0)</f>
        <v>0</v>
      </c>
      <c r="AC339" s="31"/>
      <c r="AD339" s="31"/>
      <c r="AE339" s="31"/>
      <c r="AF339" s="27" t="s">
        <v>179</v>
      </c>
      <c r="AG339" s="35">
        <v>0.12</v>
      </c>
      <c r="AH339" s="33"/>
      <c r="AI339" s="21"/>
    </row>
    <row r="340" spans="1:35" x14ac:dyDescent="0.3">
      <c r="A340" s="31">
        <v>329</v>
      </c>
      <c r="B340" s="32">
        <v>4652245476070</v>
      </c>
      <c r="C340" s="31" t="s">
        <v>2219</v>
      </c>
      <c r="D340" s="31" t="s">
        <v>1628</v>
      </c>
      <c r="E340" s="31" t="s">
        <v>1628</v>
      </c>
      <c r="F340" s="31" t="s">
        <v>1944</v>
      </c>
      <c r="G340" s="31"/>
      <c r="H340" s="31" t="s">
        <v>2219</v>
      </c>
      <c r="I340" s="33">
        <v>945.9</v>
      </c>
      <c r="J340" s="34">
        <v>0.22</v>
      </c>
      <c r="K340" s="32">
        <v>1154</v>
      </c>
      <c r="L340" s="31">
        <v>1154</v>
      </c>
      <c r="M340" s="31" t="s">
        <v>309</v>
      </c>
      <c r="N340" s="32">
        <v>1590</v>
      </c>
      <c r="O340" s="31" t="s">
        <v>309</v>
      </c>
      <c r="P340" s="31"/>
      <c r="Q340" s="31"/>
      <c r="R340" s="31"/>
      <c r="S340" s="31">
        <v>1</v>
      </c>
      <c r="T340" s="31"/>
      <c r="U340" s="31"/>
      <c r="V340" s="31"/>
      <c r="W340" s="31">
        <v>280</v>
      </c>
      <c r="X340" s="32">
        <v>210</v>
      </c>
      <c r="Y340" s="31">
        <v>160</v>
      </c>
      <c r="Z340" s="31" t="s">
        <v>889</v>
      </c>
      <c r="AA340" s="31"/>
      <c r="AB340" s="23">
        <f>_xlfn.XLOOKUP(E340,nomen!A:A,nomen!C:C,0)</f>
        <v>48</v>
      </c>
      <c r="AC340" s="31"/>
      <c r="AD340" s="31"/>
      <c r="AE340" s="31"/>
      <c r="AF340" s="27" t="s">
        <v>179</v>
      </c>
      <c r="AG340" s="35">
        <v>5</v>
      </c>
      <c r="AH340" s="33"/>
      <c r="AI340" s="21"/>
    </row>
    <row r="341" spans="1:35" x14ac:dyDescent="0.3">
      <c r="A341" s="31">
        <v>330</v>
      </c>
      <c r="B341" s="32">
        <v>2000649190788</v>
      </c>
      <c r="C341" s="31" t="s">
        <v>2220</v>
      </c>
      <c r="D341" s="31" t="s">
        <v>2221</v>
      </c>
      <c r="E341" s="31" t="s">
        <v>2221</v>
      </c>
      <c r="F341" s="31" t="s">
        <v>1944</v>
      </c>
      <c r="G341" s="31"/>
      <c r="H341" s="31" t="s">
        <v>2220</v>
      </c>
      <c r="I341" s="33">
        <v>537.70000000000005</v>
      </c>
      <c r="J341" s="34">
        <v>0.22</v>
      </c>
      <c r="K341" s="32">
        <v>656</v>
      </c>
      <c r="L341" s="31">
        <v>656</v>
      </c>
      <c r="M341" s="31" t="s">
        <v>309</v>
      </c>
      <c r="N341" s="32">
        <v>990</v>
      </c>
      <c r="O341" s="31" t="s">
        <v>309</v>
      </c>
      <c r="P341" s="31"/>
      <c r="Q341" s="31"/>
      <c r="R341" s="31"/>
      <c r="S341" s="31">
        <v>1</v>
      </c>
      <c r="T341" s="31"/>
      <c r="U341" s="31"/>
      <c r="V341" s="31"/>
      <c r="W341" s="31">
        <v>60</v>
      </c>
      <c r="X341" s="32">
        <v>310</v>
      </c>
      <c r="Y341" s="31">
        <v>310</v>
      </c>
      <c r="Z341" s="31" t="s">
        <v>889</v>
      </c>
      <c r="AA341" s="31"/>
      <c r="AB341" s="23">
        <f>_xlfn.XLOOKUP(E341,nomen!A:A,nomen!C:C,0)</f>
        <v>0</v>
      </c>
      <c r="AC341" s="31"/>
      <c r="AD341" s="31"/>
      <c r="AE341" s="31"/>
      <c r="AF341" s="27" t="s">
        <v>179</v>
      </c>
      <c r="AG341" s="35">
        <v>0.1</v>
      </c>
      <c r="AH341" s="33"/>
      <c r="AI341" s="21"/>
    </row>
    <row r="342" spans="1:35" x14ac:dyDescent="0.3">
      <c r="A342" s="31">
        <v>331</v>
      </c>
      <c r="B342" s="32">
        <v>4673746972915</v>
      </c>
      <c r="C342" s="31" t="s">
        <v>2222</v>
      </c>
      <c r="D342" s="31" t="s">
        <v>1572</v>
      </c>
      <c r="E342" s="31" t="s">
        <v>1572</v>
      </c>
      <c r="F342" s="31" t="s">
        <v>1944</v>
      </c>
      <c r="G342" s="31"/>
      <c r="H342" s="31" t="s">
        <v>2222</v>
      </c>
      <c r="I342" s="33">
        <v>755.74</v>
      </c>
      <c r="J342" s="34">
        <v>0.22</v>
      </c>
      <c r="K342" s="32">
        <v>922</v>
      </c>
      <c r="L342" s="31">
        <v>922</v>
      </c>
      <c r="M342" s="31" t="s">
        <v>309</v>
      </c>
      <c r="N342" s="32">
        <v>1390</v>
      </c>
      <c r="O342" s="31" t="s">
        <v>309</v>
      </c>
      <c r="P342" s="31"/>
      <c r="Q342" s="31"/>
      <c r="R342" s="31"/>
      <c r="S342" s="31">
        <v>1</v>
      </c>
      <c r="T342" s="31"/>
      <c r="U342" s="31"/>
      <c r="V342" s="31"/>
      <c r="W342" s="31">
        <v>100</v>
      </c>
      <c r="X342" s="32">
        <v>140</v>
      </c>
      <c r="Y342" s="31">
        <v>240</v>
      </c>
      <c r="Z342" s="31" t="s">
        <v>889</v>
      </c>
      <c r="AA342" s="31"/>
      <c r="AB342" s="23">
        <f>_xlfn.XLOOKUP(E342,nomen!A:A,nomen!C:C,0)</f>
        <v>505</v>
      </c>
      <c r="AC342" s="31"/>
      <c r="AD342" s="31"/>
      <c r="AE342" s="31"/>
      <c r="AF342" s="27" t="s">
        <v>179</v>
      </c>
      <c r="AG342" s="35">
        <v>1.0049999999999999</v>
      </c>
      <c r="AH342" s="33"/>
      <c r="AI342" s="21"/>
    </row>
    <row r="343" spans="1:35" x14ac:dyDescent="0.3">
      <c r="A343" s="31">
        <v>332</v>
      </c>
      <c r="B343" s="32">
        <v>4673746975084</v>
      </c>
      <c r="C343" s="31" t="s">
        <v>2223</v>
      </c>
      <c r="D343" s="31" t="s">
        <v>1636</v>
      </c>
      <c r="E343" s="31" t="s">
        <v>1636</v>
      </c>
      <c r="F343" s="31" t="s">
        <v>1944</v>
      </c>
      <c r="G343" s="31"/>
      <c r="H343" s="31" t="s">
        <v>2223</v>
      </c>
      <c r="I343" s="33">
        <v>2053.2800000000002</v>
      </c>
      <c r="J343" s="34">
        <v>0.22</v>
      </c>
      <c r="K343" s="32">
        <v>2505</v>
      </c>
      <c r="L343" s="31">
        <v>2505</v>
      </c>
      <c r="M343" s="31" t="s">
        <v>309</v>
      </c>
      <c r="N343" s="32">
        <v>3990</v>
      </c>
      <c r="O343" s="31" t="s">
        <v>309</v>
      </c>
      <c r="P343" s="31"/>
      <c r="Q343" s="31"/>
      <c r="R343" s="31"/>
      <c r="S343" s="31">
        <v>1</v>
      </c>
      <c r="T343" s="31"/>
      <c r="U343" s="31"/>
      <c r="V343" s="31"/>
      <c r="W343" s="31">
        <v>280</v>
      </c>
      <c r="X343" s="32">
        <v>160</v>
      </c>
      <c r="Y343" s="31">
        <v>210</v>
      </c>
      <c r="Z343" s="31" t="s">
        <v>889</v>
      </c>
      <c r="AA343" s="31"/>
      <c r="AB343" s="23">
        <f>_xlfn.XLOOKUP(E343,nomen!A:A,nomen!C:C,0)</f>
        <v>64</v>
      </c>
      <c r="AC343" s="31"/>
      <c r="AD343" s="31"/>
      <c r="AE343" s="31"/>
      <c r="AF343" s="27" t="s">
        <v>179</v>
      </c>
      <c r="AG343" s="35">
        <v>5.8</v>
      </c>
      <c r="AH343" s="33"/>
      <c r="AI343" s="21"/>
    </row>
    <row r="344" spans="1:35" x14ac:dyDescent="0.3">
      <c r="A344" s="31">
        <v>333</v>
      </c>
      <c r="B344" s="32">
        <v>5101234100155</v>
      </c>
      <c r="C344" s="31" t="s">
        <v>2224</v>
      </c>
      <c r="D344" s="31" t="s">
        <v>2070</v>
      </c>
      <c r="E344" s="31" t="s">
        <v>2070</v>
      </c>
      <c r="F344" s="31" t="s">
        <v>1944</v>
      </c>
      <c r="G344" s="31"/>
      <c r="H344" s="31" t="s">
        <v>2224</v>
      </c>
      <c r="I344" s="33">
        <v>755.74</v>
      </c>
      <c r="J344" s="34">
        <v>0.22</v>
      </c>
      <c r="K344" s="32">
        <v>922</v>
      </c>
      <c r="L344" s="31">
        <v>922</v>
      </c>
      <c r="M344" s="31" t="s">
        <v>309</v>
      </c>
      <c r="N344" s="32">
        <v>1390</v>
      </c>
      <c r="O344" s="31" t="s">
        <v>309</v>
      </c>
      <c r="P344" s="31"/>
      <c r="Q344" s="31"/>
      <c r="R344" s="31"/>
      <c r="S344" s="31">
        <v>1</v>
      </c>
      <c r="T344" s="31"/>
      <c r="U344" s="31"/>
      <c r="V344" s="31"/>
      <c r="W344" s="31">
        <v>360</v>
      </c>
      <c r="X344" s="32">
        <v>410</v>
      </c>
      <c r="Y344" s="31">
        <v>350</v>
      </c>
      <c r="Z344" s="31" t="s">
        <v>889</v>
      </c>
      <c r="AA344" s="31"/>
      <c r="AB344" s="23">
        <f>_xlfn.XLOOKUP(E344,nomen!A:A,nomen!C:C,0)</f>
        <v>0</v>
      </c>
      <c r="AC344" s="31"/>
      <c r="AD344" s="31"/>
      <c r="AE344" s="31"/>
      <c r="AF344" s="27" t="s">
        <v>179</v>
      </c>
      <c r="AG344" s="35">
        <v>1</v>
      </c>
      <c r="AH344" s="33"/>
      <c r="AI344" s="21"/>
    </row>
    <row r="345" spans="1:35" x14ac:dyDescent="0.3">
      <c r="A345" s="31">
        <v>334</v>
      </c>
      <c r="B345" s="32">
        <v>2000649176065</v>
      </c>
      <c r="C345" s="31" t="s">
        <v>2225</v>
      </c>
      <c r="D345" s="31" t="s">
        <v>1612</v>
      </c>
      <c r="E345" s="31" t="s">
        <v>1612</v>
      </c>
      <c r="F345" s="31" t="s">
        <v>1944</v>
      </c>
      <c r="G345" s="31"/>
      <c r="H345" s="31" t="s">
        <v>2225</v>
      </c>
      <c r="I345" s="33">
        <v>1454.92</v>
      </c>
      <c r="J345" s="34">
        <v>0.22</v>
      </c>
      <c r="K345" s="32">
        <v>1775</v>
      </c>
      <c r="L345" s="31">
        <v>1775</v>
      </c>
      <c r="M345" s="31" t="s">
        <v>309</v>
      </c>
      <c r="N345" s="32">
        <v>1990</v>
      </c>
      <c r="O345" s="31" t="s">
        <v>309</v>
      </c>
      <c r="P345" s="31"/>
      <c r="Q345" s="31"/>
      <c r="R345" s="31"/>
      <c r="S345" s="31">
        <v>1</v>
      </c>
      <c r="T345" s="31"/>
      <c r="U345" s="31"/>
      <c r="V345" s="31"/>
      <c r="W345" s="31">
        <v>70</v>
      </c>
      <c r="X345" s="32">
        <v>530</v>
      </c>
      <c r="Y345" s="31">
        <v>410</v>
      </c>
      <c r="Z345" s="31" t="s">
        <v>889</v>
      </c>
      <c r="AA345" s="31"/>
      <c r="AB345" s="23">
        <f>_xlfn.XLOOKUP(E345,nomen!A:A,nomen!C:C,0)</f>
        <v>0</v>
      </c>
      <c r="AC345" s="31"/>
      <c r="AD345" s="31"/>
      <c r="AE345" s="31"/>
      <c r="AF345" s="27" t="s">
        <v>179</v>
      </c>
      <c r="AG345" s="35">
        <v>7.44</v>
      </c>
      <c r="AH345" s="33"/>
      <c r="AI345" s="21"/>
    </row>
    <row r="346" spans="1:35" x14ac:dyDescent="0.3">
      <c r="A346" s="31">
        <v>335</v>
      </c>
      <c r="B346" s="32">
        <v>5101234100162</v>
      </c>
      <c r="C346" s="31" t="s">
        <v>2226</v>
      </c>
      <c r="D346" s="31" t="s">
        <v>1769</v>
      </c>
      <c r="E346" s="31" t="s">
        <v>1769</v>
      </c>
      <c r="F346" s="31" t="s">
        <v>1944</v>
      </c>
      <c r="G346" s="31"/>
      <c r="H346" s="31" t="s">
        <v>2226</v>
      </c>
      <c r="I346" s="33">
        <v>3674.59</v>
      </c>
      <c r="J346" s="34">
        <v>0.22</v>
      </c>
      <c r="K346" s="32">
        <v>4483</v>
      </c>
      <c r="L346" s="31">
        <v>4483</v>
      </c>
      <c r="M346" s="31" t="s">
        <v>309</v>
      </c>
      <c r="N346" s="32">
        <v>5990</v>
      </c>
      <c r="O346" s="31" t="s">
        <v>309</v>
      </c>
      <c r="P346" s="31"/>
      <c r="Q346" s="31"/>
      <c r="R346" s="31"/>
      <c r="S346" s="31">
        <v>1</v>
      </c>
      <c r="T346" s="31"/>
      <c r="U346" s="31"/>
      <c r="V346" s="31"/>
      <c r="W346" s="31">
        <v>200</v>
      </c>
      <c r="X346" s="32">
        <v>500</v>
      </c>
      <c r="Y346" s="31">
        <v>500</v>
      </c>
      <c r="Z346" s="31" t="s">
        <v>889</v>
      </c>
      <c r="AA346" s="31"/>
      <c r="AB346" s="23">
        <f>_xlfn.XLOOKUP(E346,nomen!A:A,nomen!C:C,0)</f>
        <v>20</v>
      </c>
      <c r="AC346" s="31"/>
      <c r="AD346" s="31"/>
      <c r="AE346" s="31"/>
      <c r="AF346" s="27" t="s">
        <v>179</v>
      </c>
      <c r="AG346" s="35">
        <v>1.5</v>
      </c>
      <c r="AH346" s="33"/>
      <c r="AI346" s="21"/>
    </row>
    <row r="347" spans="1:35" x14ac:dyDescent="0.3">
      <c r="A347" s="31">
        <v>336</v>
      </c>
      <c r="B347" s="32">
        <v>2042584231119</v>
      </c>
      <c r="C347" s="31" t="s">
        <v>2227</v>
      </c>
      <c r="D347" s="31" t="s">
        <v>2228</v>
      </c>
      <c r="E347" s="31" t="s">
        <v>2228</v>
      </c>
      <c r="F347" s="31" t="s">
        <v>1944</v>
      </c>
      <c r="G347" s="31"/>
      <c r="H347" s="31" t="s">
        <v>2227</v>
      </c>
      <c r="I347" s="33">
        <v>171.31</v>
      </c>
      <c r="J347" s="34">
        <v>0.22</v>
      </c>
      <c r="K347" s="32">
        <v>209</v>
      </c>
      <c r="L347" s="31">
        <v>209</v>
      </c>
      <c r="M347" s="31" t="s">
        <v>309</v>
      </c>
      <c r="N347" s="32">
        <v>315</v>
      </c>
      <c r="O347" s="31" t="s">
        <v>309</v>
      </c>
      <c r="P347" s="31"/>
      <c r="Q347" s="31"/>
      <c r="R347" s="31"/>
      <c r="S347" s="31">
        <v>1</v>
      </c>
      <c r="T347" s="31"/>
      <c r="U347" s="31"/>
      <c r="V347" s="31"/>
      <c r="W347" s="31">
        <v>50</v>
      </c>
      <c r="X347" s="32">
        <v>200</v>
      </c>
      <c r="Y347" s="31">
        <v>100</v>
      </c>
      <c r="Z347" s="31" t="s">
        <v>889</v>
      </c>
      <c r="AA347" s="31"/>
      <c r="AB347" s="23">
        <f>_xlfn.XLOOKUP(E347,nomen!A:A,nomen!C:C,0)</f>
        <v>2</v>
      </c>
      <c r="AC347" s="31"/>
      <c r="AD347" s="31"/>
      <c r="AE347" s="31"/>
      <c r="AF347" s="27" t="s">
        <v>179</v>
      </c>
      <c r="AG347" s="35">
        <v>0.08</v>
      </c>
      <c r="AH347" s="33"/>
      <c r="AI347" s="21"/>
    </row>
    <row r="348" spans="1:35" x14ac:dyDescent="0.3">
      <c r="A348" s="31">
        <v>337</v>
      </c>
      <c r="B348" s="32">
        <v>2000649193529</v>
      </c>
      <c r="C348" s="31" t="s">
        <v>2229</v>
      </c>
      <c r="D348" s="31" t="s">
        <v>2230</v>
      </c>
      <c r="E348" s="31" t="s">
        <v>2230</v>
      </c>
      <c r="F348" s="31" t="s">
        <v>1944</v>
      </c>
      <c r="G348" s="31"/>
      <c r="H348" s="31" t="s">
        <v>2229</v>
      </c>
      <c r="I348" s="33">
        <v>59.02</v>
      </c>
      <c r="J348" s="34">
        <v>0.22</v>
      </c>
      <c r="K348" s="32">
        <v>72</v>
      </c>
      <c r="L348" s="31">
        <v>72</v>
      </c>
      <c r="M348" s="31" t="s">
        <v>309</v>
      </c>
      <c r="N348" s="32">
        <v>105</v>
      </c>
      <c r="O348" s="31" t="s">
        <v>309</v>
      </c>
      <c r="P348" s="31"/>
      <c r="Q348" s="31"/>
      <c r="R348" s="31"/>
      <c r="S348" s="31">
        <v>1</v>
      </c>
      <c r="T348" s="31"/>
      <c r="U348" s="31"/>
      <c r="V348" s="31"/>
      <c r="W348" s="31">
        <v>60</v>
      </c>
      <c r="X348" s="32">
        <v>100</v>
      </c>
      <c r="Y348" s="31">
        <v>60</v>
      </c>
      <c r="Z348" s="31" t="s">
        <v>889</v>
      </c>
      <c r="AA348" s="31"/>
      <c r="AB348" s="23">
        <f>_xlfn.XLOOKUP(E348,nomen!A:A,nomen!C:C,0)</f>
        <v>0</v>
      </c>
      <c r="AC348" s="31"/>
      <c r="AD348" s="31"/>
      <c r="AE348" s="31"/>
      <c r="AF348" s="27" t="s">
        <v>179</v>
      </c>
      <c r="AG348" s="35">
        <v>0.03</v>
      </c>
      <c r="AH348" s="33"/>
      <c r="AI348" s="21"/>
    </row>
    <row r="349" spans="1:35" x14ac:dyDescent="0.3">
      <c r="A349" s="31">
        <v>338</v>
      </c>
      <c r="B349" s="32">
        <v>2042772568263</v>
      </c>
      <c r="C349" s="31" t="s">
        <v>2231</v>
      </c>
      <c r="D349" s="31" t="s">
        <v>1596</v>
      </c>
      <c r="E349" s="31" t="s">
        <v>1596</v>
      </c>
      <c r="F349" s="31" t="s">
        <v>1944</v>
      </c>
      <c r="G349" s="31"/>
      <c r="H349" s="31" t="s">
        <v>2231</v>
      </c>
      <c r="I349" s="33">
        <v>483.61</v>
      </c>
      <c r="J349" s="34">
        <v>0.22</v>
      </c>
      <c r="K349" s="32">
        <v>590</v>
      </c>
      <c r="L349" s="31">
        <v>590</v>
      </c>
      <c r="M349" s="31" t="s">
        <v>309</v>
      </c>
      <c r="N349" s="32">
        <v>890</v>
      </c>
      <c r="O349" s="31" t="s">
        <v>309</v>
      </c>
      <c r="P349" s="31"/>
      <c r="Q349" s="31"/>
      <c r="R349" s="31"/>
      <c r="S349" s="31">
        <v>1</v>
      </c>
      <c r="T349" s="31"/>
      <c r="U349" s="31"/>
      <c r="V349" s="31"/>
      <c r="W349" s="31">
        <v>180</v>
      </c>
      <c r="X349" s="32">
        <v>200</v>
      </c>
      <c r="Y349" s="31">
        <v>30</v>
      </c>
      <c r="Z349" s="31" t="s">
        <v>889</v>
      </c>
      <c r="AA349" s="31"/>
      <c r="AB349" s="23">
        <f>_xlfn.XLOOKUP(E349,nomen!A:A,nomen!C:C,0)</f>
        <v>606</v>
      </c>
      <c r="AC349" s="31"/>
      <c r="AD349" s="31"/>
      <c r="AE349" s="31"/>
      <c r="AF349" s="27" t="s">
        <v>179</v>
      </c>
      <c r="AG349" s="35">
        <v>0.05</v>
      </c>
      <c r="AH349" s="33"/>
      <c r="AI349" s="21"/>
    </row>
    <row r="350" spans="1:35" x14ac:dyDescent="0.3">
      <c r="A350" s="31">
        <v>339</v>
      </c>
      <c r="B350" s="32">
        <v>4673746972526</v>
      </c>
      <c r="C350" s="31" t="s">
        <v>2232</v>
      </c>
      <c r="D350" s="31" t="s">
        <v>2233</v>
      </c>
      <c r="E350" s="31" t="s">
        <v>2233</v>
      </c>
      <c r="F350" s="31" t="s">
        <v>1944</v>
      </c>
      <c r="G350" s="31"/>
      <c r="H350" s="31" t="s">
        <v>2232</v>
      </c>
      <c r="I350" s="33">
        <v>98.36</v>
      </c>
      <c r="J350" s="34">
        <v>0.22</v>
      </c>
      <c r="K350" s="32">
        <v>120</v>
      </c>
      <c r="L350" s="31">
        <v>120</v>
      </c>
      <c r="M350" s="31" t="s">
        <v>309</v>
      </c>
      <c r="N350" s="32">
        <v>190</v>
      </c>
      <c r="O350" s="31" t="s">
        <v>309</v>
      </c>
      <c r="P350" s="31"/>
      <c r="Q350" s="31"/>
      <c r="R350" s="31"/>
      <c r="S350" s="31">
        <v>1</v>
      </c>
      <c r="T350" s="31"/>
      <c r="U350" s="31"/>
      <c r="V350" s="31"/>
      <c r="W350" s="31">
        <v>50</v>
      </c>
      <c r="X350" s="32">
        <v>160</v>
      </c>
      <c r="Y350" s="31">
        <v>50</v>
      </c>
      <c r="Z350" s="31" t="s">
        <v>889</v>
      </c>
      <c r="AA350" s="31"/>
      <c r="AB350" s="23">
        <f>_xlfn.XLOOKUP(E350,nomen!A:A,nomen!C:C,0)</f>
        <v>509</v>
      </c>
      <c r="AC350" s="31"/>
      <c r="AD350" s="31"/>
      <c r="AE350" s="31"/>
      <c r="AF350" s="27" t="s">
        <v>179</v>
      </c>
      <c r="AG350" s="35">
        <v>0.23</v>
      </c>
      <c r="AH350" s="33"/>
      <c r="AI350" s="21"/>
    </row>
    <row r="351" spans="1:35" x14ac:dyDescent="0.3">
      <c r="A351" s="31">
        <v>340</v>
      </c>
      <c r="B351" s="32">
        <v>2000649189126</v>
      </c>
      <c r="C351" s="31" t="s">
        <v>2234</v>
      </c>
      <c r="D351" s="31" t="s">
        <v>1653</v>
      </c>
      <c r="E351" s="31" t="s">
        <v>1653</v>
      </c>
      <c r="F351" s="31" t="s">
        <v>1944</v>
      </c>
      <c r="G351" s="31"/>
      <c r="H351" s="31" t="s">
        <v>2234</v>
      </c>
      <c r="I351" s="33">
        <v>2213.9299999999998</v>
      </c>
      <c r="J351" s="34">
        <v>0.22</v>
      </c>
      <c r="K351" s="32">
        <v>2701</v>
      </c>
      <c r="L351" s="31">
        <v>2701</v>
      </c>
      <c r="M351" s="31" t="s">
        <v>309</v>
      </c>
      <c r="N351" s="32">
        <v>3490</v>
      </c>
      <c r="O351" s="31" t="s">
        <v>309</v>
      </c>
      <c r="P351" s="31"/>
      <c r="Q351" s="31"/>
      <c r="R351" s="31"/>
      <c r="S351" s="31">
        <v>1</v>
      </c>
      <c r="T351" s="31"/>
      <c r="U351" s="31"/>
      <c r="V351" s="31"/>
      <c r="W351" s="31">
        <v>100</v>
      </c>
      <c r="X351" s="32">
        <v>300</v>
      </c>
      <c r="Y351" s="31">
        <v>300</v>
      </c>
      <c r="Z351" s="31" t="s">
        <v>889</v>
      </c>
      <c r="AA351" s="31"/>
      <c r="AB351" s="23">
        <f>_xlfn.XLOOKUP(E351,nomen!A:A,nomen!C:C,0)</f>
        <v>58</v>
      </c>
      <c r="AC351" s="31"/>
      <c r="AD351" s="31"/>
      <c r="AE351" s="31"/>
      <c r="AF351" s="27" t="s">
        <v>179</v>
      </c>
      <c r="AG351" s="35">
        <v>1</v>
      </c>
      <c r="AH351" s="33"/>
      <c r="AI351" s="21"/>
    </row>
    <row r="352" spans="1:35" x14ac:dyDescent="0.3">
      <c r="A352" s="31">
        <v>341</v>
      </c>
      <c r="B352" s="32">
        <v>2000649189805</v>
      </c>
      <c r="C352" s="31" t="s">
        <v>2235</v>
      </c>
      <c r="D352" s="31" t="s">
        <v>1592</v>
      </c>
      <c r="E352" s="31" t="s">
        <v>1592</v>
      </c>
      <c r="F352" s="31" t="s">
        <v>1944</v>
      </c>
      <c r="G352" s="31"/>
      <c r="H352" s="31" t="s">
        <v>2235</v>
      </c>
      <c r="I352" s="33">
        <v>537.70000000000005</v>
      </c>
      <c r="J352" s="34">
        <v>0.22</v>
      </c>
      <c r="K352" s="32">
        <v>656</v>
      </c>
      <c r="L352" s="31">
        <v>656</v>
      </c>
      <c r="M352" s="31" t="s">
        <v>309</v>
      </c>
      <c r="N352" s="32">
        <v>990</v>
      </c>
      <c r="O352" s="31" t="s">
        <v>309</v>
      </c>
      <c r="P352" s="31"/>
      <c r="Q352" s="31"/>
      <c r="R352" s="31"/>
      <c r="S352" s="31">
        <v>1</v>
      </c>
      <c r="T352" s="31"/>
      <c r="U352" s="31"/>
      <c r="V352" s="31"/>
      <c r="W352" s="31">
        <v>210</v>
      </c>
      <c r="X352" s="32">
        <v>360</v>
      </c>
      <c r="Y352" s="31">
        <v>10</v>
      </c>
      <c r="Z352" s="31" t="s">
        <v>889</v>
      </c>
      <c r="AA352" s="31"/>
      <c r="AB352" s="23">
        <f>_xlfn.XLOOKUP(E352,nomen!A:A,nomen!C:C,0)</f>
        <v>303</v>
      </c>
      <c r="AC352" s="31"/>
      <c r="AD352" s="31"/>
      <c r="AE352" s="31"/>
      <c r="AF352" s="27" t="s">
        <v>179</v>
      </c>
      <c r="AG352" s="35">
        <v>0.1</v>
      </c>
      <c r="AH352" s="33"/>
      <c r="AI352" s="21"/>
    </row>
    <row r="353" spans="1:35" x14ac:dyDescent="0.3">
      <c r="A353" s="31">
        <v>342</v>
      </c>
      <c r="B353" s="32">
        <v>4673746973936</v>
      </c>
      <c r="C353" s="31" t="s">
        <v>2236</v>
      </c>
      <c r="D353" s="31" t="s">
        <v>2237</v>
      </c>
      <c r="E353" s="31" t="s">
        <v>2237</v>
      </c>
      <c r="F353" s="31" t="s">
        <v>1944</v>
      </c>
      <c r="G353" s="31"/>
      <c r="H353" s="31" t="s">
        <v>2236</v>
      </c>
      <c r="I353" s="33">
        <v>283.61</v>
      </c>
      <c r="J353" s="34">
        <v>0.22</v>
      </c>
      <c r="K353" s="32">
        <v>346</v>
      </c>
      <c r="L353" s="31">
        <v>346</v>
      </c>
      <c r="M353" s="31" t="s">
        <v>309</v>
      </c>
      <c r="N353" s="32">
        <v>550</v>
      </c>
      <c r="O353" s="31" t="s">
        <v>309</v>
      </c>
      <c r="P353" s="31"/>
      <c r="Q353" s="31"/>
      <c r="R353" s="31"/>
      <c r="S353" s="31">
        <v>1</v>
      </c>
      <c r="T353" s="31"/>
      <c r="U353" s="31"/>
      <c r="V353" s="31"/>
      <c r="W353" s="31">
        <v>80</v>
      </c>
      <c r="X353" s="32">
        <v>220</v>
      </c>
      <c r="Y353" s="31">
        <v>80</v>
      </c>
      <c r="Z353" s="31" t="s">
        <v>889</v>
      </c>
      <c r="AA353" s="31"/>
      <c r="AB353" s="23">
        <f>_xlfn.XLOOKUP(E353,nomen!A:A,nomen!C:C,0)</f>
        <v>37</v>
      </c>
      <c r="AC353" s="31"/>
      <c r="AD353" s="31"/>
      <c r="AE353" s="31"/>
      <c r="AF353" s="27" t="s">
        <v>179</v>
      </c>
      <c r="AG353" s="35">
        <v>0.7</v>
      </c>
      <c r="AH353" s="33"/>
      <c r="AI353" s="21"/>
    </row>
    <row r="354" spans="1:35" x14ac:dyDescent="0.3">
      <c r="A354" s="31">
        <v>343</v>
      </c>
      <c r="B354" s="32">
        <v>4673746973943</v>
      </c>
      <c r="C354" s="31" t="s">
        <v>2238</v>
      </c>
      <c r="D354" s="31" t="s">
        <v>2239</v>
      </c>
      <c r="E354" s="31" t="s">
        <v>2239</v>
      </c>
      <c r="F354" s="31" t="s">
        <v>1944</v>
      </c>
      <c r="G354" s="31"/>
      <c r="H354" s="31" t="s">
        <v>2238</v>
      </c>
      <c r="I354" s="33">
        <v>1795.9</v>
      </c>
      <c r="J354" s="34">
        <v>0.22</v>
      </c>
      <c r="K354" s="32">
        <v>2191</v>
      </c>
      <c r="L354" s="31">
        <v>2191</v>
      </c>
      <c r="M354" s="31" t="s">
        <v>309</v>
      </c>
      <c r="N354" s="32">
        <v>3490</v>
      </c>
      <c r="O354" s="31" t="s">
        <v>309</v>
      </c>
      <c r="P354" s="31"/>
      <c r="Q354" s="31"/>
      <c r="R354" s="31"/>
      <c r="S354" s="31">
        <v>1</v>
      </c>
      <c r="T354" s="31"/>
      <c r="U354" s="31"/>
      <c r="V354" s="31"/>
      <c r="W354" s="31">
        <v>190</v>
      </c>
      <c r="X354" s="32">
        <v>250</v>
      </c>
      <c r="Y354" s="31">
        <v>140</v>
      </c>
      <c r="Z354" s="31" t="s">
        <v>889</v>
      </c>
      <c r="AA354" s="31"/>
      <c r="AB354" s="23">
        <f>_xlfn.XLOOKUP(E354,nomen!A:A,nomen!C:C,0)</f>
        <v>27</v>
      </c>
      <c r="AC354" s="31"/>
      <c r="AD354" s="31"/>
      <c r="AE354" s="31"/>
      <c r="AF354" s="27" t="s">
        <v>179</v>
      </c>
      <c r="AG354" s="35">
        <v>4.0999999999999996</v>
      </c>
      <c r="AH354" s="33"/>
      <c r="AI354" s="21"/>
    </row>
    <row r="355" spans="1:35" x14ac:dyDescent="0.3">
      <c r="A355" s="31">
        <v>344</v>
      </c>
      <c r="B355" s="32">
        <v>4673746974766</v>
      </c>
      <c r="C355" s="31" t="s">
        <v>2240</v>
      </c>
      <c r="D355" s="31" t="s">
        <v>1565</v>
      </c>
      <c r="E355" s="31" t="s">
        <v>1565</v>
      </c>
      <c r="F355" s="31" t="s">
        <v>1944</v>
      </c>
      <c r="G355" s="31"/>
      <c r="H355" s="31" t="s">
        <v>2240</v>
      </c>
      <c r="I355" s="33">
        <v>103.28</v>
      </c>
      <c r="J355" s="34">
        <v>0.22</v>
      </c>
      <c r="K355" s="32">
        <v>126</v>
      </c>
      <c r="L355" s="31">
        <v>126</v>
      </c>
      <c r="M355" s="31" t="s">
        <v>309</v>
      </c>
      <c r="N355" s="32">
        <v>190</v>
      </c>
      <c r="O355" s="31" t="s">
        <v>309</v>
      </c>
      <c r="P355" s="31"/>
      <c r="Q355" s="31"/>
      <c r="R355" s="31"/>
      <c r="S355" s="31">
        <v>1</v>
      </c>
      <c r="T355" s="31"/>
      <c r="U355" s="31"/>
      <c r="V355" s="31"/>
      <c r="W355" s="31">
        <v>150</v>
      </c>
      <c r="X355" s="32">
        <v>230</v>
      </c>
      <c r="Y355" s="31">
        <v>50</v>
      </c>
      <c r="Z355" s="31" t="s">
        <v>889</v>
      </c>
      <c r="AA355" s="31"/>
      <c r="AB355" s="23">
        <f>_xlfn.XLOOKUP(E355,nomen!A:A,nomen!C:C,0)</f>
        <v>2141</v>
      </c>
      <c r="AC355" s="31"/>
      <c r="AD355" s="31"/>
      <c r="AE355" s="31"/>
      <c r="AF355" s="27" t="s">
        <v>179</v>
      </c>
      <c r="AG355" s="35">
        <v>0.2</v>
      </c>
      <c r="AH355" s="33"/>
      <c r="AI355" s="21"/>
    </row>
    <row r="356" spans="1:35" x14ac:dyDescent="0.3">
      <c r="A356" s="31">
        <v>345</v>
      </c>
      <c r="B356" s="32">
        <v>2000649193536</v>
      </c>
      <c r="C356" s="31" t="s">
        <v>2241</v>
      </c>
      <c r="D356" s="31" t="s">
        <v>1647</v>
      </c>
      <c r="E356" s="31" t="s">
        <v>1647</v>
      </c>
      <c r="F356" s="31" t="s">
        <v>1944</v>
      </c>
      <c r="G356" s="31"/>
      <c r="H356" s="31" t="s">
        <v>2241</v>
      </c>
      <c r="I356" s="33">
        <v>11034.43</v>
      </c>
      <c r="J356" s="34">
        <v>0.22</v>
      </c>
      <c r="K356" s="32">
        <v>13462</v>
      </c>
      <c r="L356" s="31">
        <v>13462</v>
      </c>
      <c r="M356" s="31" t="s">
        <v>309</v>
      </c>
      <c r="N356" s="32">
        <v>17990</v>
      </c>
      <c r="O356" s="31" t="s">
        <v>309</v>
      </c>
      <c r="P356" s="31"/>
      <c r="Q356" s="31"/>
      <c r="R356" s="31"/>
      <c r="S356" s="31">
        <v>1</v>
      </c>
      <c r="T356" s="31"/>
      <c r="U356" s="31"/>
      <c r="V356" s="31"/>
      <c r="W356" s="31">
        <v>110</v>
      </c>
      <c r="X356" s="32">
        <v>360</v>
      </c>
      <c r="Y356" s="31">
        <v>270</v>
      </c>
      <c r="Z356" s="31" t="s">
        <v>889</v>
      </c>
      <c r="AA356" s="31"/>
      <c r="AB356" s="23">
        <f>_xlfn.XLOOKUP(E356,nomen!A:A,nomen!C:C,0)</f>
        <v>49</v>
      </c>
      <c r="AC356" s="31"/>
      <c r="AD356" s="31"/>
      <c r="AE356" s="31"/>
      <c r="AF356" s="27" t="s">
        <v>179</v>
      </c>
      <c r="AG356" s="35">
        <v>1.5</v>
      </c>
      <c r="AH356" s="33"/>
      <c r="AI356" s="21"/>
    </row>
    <row r="357" spans="1:35" x14ac:dyDescent="0.3">
      <c r="A357" s="31">
        <v>346</v>
      </c>
      <c r="B357" s="32">
        <v>2052418903488</v>
      </c>
      <c r="C357" s="31" t="s">
        <v>2242</v>
      </c>
      <c r="D357" s="31" t="s">
        <v>2066</v>
      </c>
      <c r="E357" s="31" t="s">
        <v>2066</v>
      </c>
      <c r="F357" s="31" t="s">
        <v>1944</v>
      </c>
      <c r="G357" s="31"/>
      <c r="H357" s="31" t="s">
        <v>2242</v>
      </c>
      <c r="I357" s="33">
        <v>1080.33</v>
      </c>
      <c r="J357" s="34">
        <v>0.22</v>
      </c>
      <c r="K357" s="32">
        <v>1318</v>
      </c>
      <c r="L357" s="31">
        <v>1318</v>
      </c>
      <c r="M357" s="31" t="s">
        <v>309</v>
      </c>
      <c r="N357" s="32">
        <v>1990</v>
      </c>
      <c r="O357" s="31" t="s">
        <v>309</v>
      </c>
      <c r="P357" s="31"/>
      <c r="Q357" s="31"/>
      <c r="R357" s="31"/>
      <c r="S357" s="31">
        <v>1</v>
      </c>
      <c r="T357" s="31"/>
      <c r="U357" s="31"/>
      <c r="V357" s="31"/>
      <c r="W357" s="31">
        <v>410</v>
      </c>
      <c r="X357" s="32">
        <v>430</v>
      </c>
      <c r="Y357" s="31">
        <v>410</v>
      </c>
      <c r="Z357" s="31" t="s">
        <v>889</v>
      </c>
      <c r="AA357" s="31"/>
      <c r="AB357" s="23">
        <f>_xlfn.XLOOKUP(E357,nomen!A:A,nomen!C:C,0)</f>
        <v>29</v>
      </c>
      <c r="AC357" s="31"/>
      <c r="AD357" s="31"/>
      <c r="AE357" s="31"/>
      <c r="AF357" s="27" t="s">
        <v>179</v>
      </c>
      <c r="AG357" s="35">
        <v>2</v>
      </c>
      <c r="AH357" s="33"/>
      <c r="AI357" s="21"/>
    </row>
    <row r="358" spans="1:35" x14ac:dyDescent="0.3">
      <c r="A358" s="31">
        <v>347</v>
      </c>
      <c r="B358" s="32">
        <v>4673746976104</v>
      </c>
      <c r="C358" s="31" t="s">
        <v>2243</v>
      </c>
      <c r="D358" s="31" t="s">
        <v>1599</v>
      </c>
      <c r="E358" s="31" t="s">
        <v>1599</v>
      </c>
      <c r="F358" s="31" t="s">
        <v>1944</v>
      </c>
      <c r="G358" s="31"/>
      <c r="H358" s="31" t="s">
        <v>2243</v>
      </c>
      <c r="I358" s="33">
        <v>200.82</v>
      </c>
      <c r="J358" s="34">
        <v>0.22</v>
      </c>
      <c r="K358" s="32">
        <v>245</v>
      </c>
      <c r="L358" s="31">
        <v>245</v>
      </c>
      <c r="M358" s="31" t="s">
        <v>309</v>
      </c>
      <c r="N358" s="32">
        <v>390</v>
      </c>
      <c r="O358" s="31" t="s">
        <v>309</v>
      </c>
      <c r="P358" s="31"/>
      <c r="Q358" s="31"/>
      <c r="R358" s="31"/>
      <c r="S358" s="31">
        <v>1</v>
      </c>
      <c r="T358" s="31"/>
      <c r="U358" s="31"/>
      <c r="V358" s="31"/>
      <c r="W358" s="31">
        <v>90</v>
      </c>
      <c r="X358" s="32">
        <v>220</v>
      </c>
      <c r="Y358" s="31">
        <v>60</v>
      </c>
      <c r="Z358" s="31" t="s">
        <v>889</v>
      </c>
      <c r="AA358" s="31"/>
      <c r="AB358" s="23">
        <f>_xlfn.XLOOKUP(E358,nomen!A:A,nomen!C:C,0)</f>
        <v>410</v>
      </c>
      <c r="AC358" s="31"/>
      <c r="AD358" s="31"/>
      <c r="AE358" s="31"/>
      <c r="AF358" s="27" t="s">
        <v>179</v>
      </c>
      <c r="AG358" s="35">
        <v>0.45</v>
      </c>
      <c r="AH358" s="33"/>
      <c r="AI358" s="21"/>
    </row>
    <row r="359" spans="1:35" x14ac:dyDescent="0.3">
      <c r="A359" s="31">
        <v>348</v>
      </c>
      <c r="B359" s="32">
        <v>4673746976197</v>
      </c>
      <c r="C359" s="31" t="s">
        <v>2244</v>
      </c>
      <c r="D359" s="31" t="s">
        <v>2053</v>
      </c>
      <c r="E359" s="31" t="s">
        <v>2053</v>
      </c>
      <c r="F359" s="31" t="s">
        <v>1944</v>
      </c>
      <c r="G359" s="31"/>
      <c r="H359" s="31" t="s">
        <v>2244</v>
      </c>
      <c r="I359" s="33">
        <v>98.36</v>
      </c>
      <c r="J359" s="34">
        <v>0.22</v>
      </c>
      <c r="K359" s="32">
        <v>120</v>
      </c>
      <c r="L359" s="31">
        <v>120</v>
      </c>
      <c r="M359" s="31" t="s">
        <v>309</v>
      </c>
      <c r="N359" s="32">
        <v>190</v>
      </c>
      <c r="O359" s="31" t="s">
        <v>309</v>
      </c>
      <c r="P359" s="31"/>
      <c r="Q359" s="31"/>
      <c r="R359" s="31"/>
      <c r="S359" s="31">
        <v>1</v>
      </c>
      <c r="T359" s="31"/>
      <c r="U359" s="31"/>
      <c r="V359" s="31"/>
      <c r="W359" s="31">
        <v>80</v>
      </c>
      <c r="X359" s="32">
        <v>230</v>
      </c>
      <c r="Y359" s="31">
        <v>80</v>
      </c>
      <c r="Z359" s="31" t="s">
        <v>889</v>
      </c>
      <c r="AA359" s="31"/>
      <c r="AB359" s="23">
        <f>_xlfn.XLOOKUP(E359,nomen!A:A,nomen!C:C,0)</f>
        <v>80</v>
      </c>
      <c r="AC359" s="31"/>
      <c r="AD359" s="31"/>
      <c r="AE359" s="31"/>
      <c r="AF359" s="27" t="s">
        <v>179</v>
      </c>
      <c r="AG359" s="35">
        <v>0.87</v>
      </c>
      <c r="AH359" s="33"/>
      <c r="AI359" s="21"/>
    </row>
    <row r="360" spans="1:35" x14ac:dyDescent="0.3">
      <c r="A360" s="31">
        <v>349</v>
      </c>
      <c r="B360" s="32">
        <v>2052464541566</v>
      </c>
      <c r="C360" s="31" t="s">
        <v>2245</v>
      </c>
      <c r="D360" s="31" t="s">
        <v>2068</v>
      </c>
      <c r="E360" s="31" t="s">
        <v>2068</v>
      </c>
      <c r="F360" s="31" t="s">
        <v>1944</v>
      </c>
      <c r="G360" s="31"/>
      <c r="H360" s="31" t="s">
        <v>2245</v>
      </c>
      <c r="I360" s="33">
        <v>320.49</v>
      </c>
      <c r="J360" s="34">
        <v>0.22</v>
      </c>
      <c r="K360" s="32">
        <v>391</v>
      </c>
      <c r="L360" s="31">
        <v>391</v>
      </c>
      <c r="M360" s="31" t="s">
        <v>309</v>
      </c>
      <c r="N360" s="32">
        <v>590</v>
      </c>
      <c r="O360" s="31" t="s">
        <v>309</v>
      </c>
      <c r="P360" s="31"/>
      <c r="Q360" s="31"/>
      <c r="R360" s="31"/>
      <c r="S360" s="31">
        <v>1</v>
      </c>
      <c r="T360" s="31"/>
      <c r="U360" s="31"/>
      <c r="V360" s="31"/>
      <c r="W360" s="31">
        <v>160</v>
      </c>
      <c r="X360" s="32">
        <v>210</v>
      </c>
      <c r="Y360" s="31">
        <v>90</v>
      </c>
      <c r="Z360" s="31" t="s">
        <v>889</v>
      </c>
      <c r="AA360" s="31"/>
      <c r="AB360" s="23">
        <f>_xlfn.XLOOKUP(E360,nomen!A:A,nomen!C:C,0)</f>
        <v>0</v>
      </c>
      <c r="AC360" s="31"/>
      <c r="AD360" s="31"/>
      <c r="AE360" s="31"/>
      <c r="AF360" s="27" t="s">
        <v>179</v>
      </c>
      <c r="AG360" s="35">
        <v>0.2</v>
      </c>
      <c r="AH360" s="33"/>
      <c r="AI360" s="21"/>
    </row>
    <row r="361" spans="1:35" x14ac:dyDescent="0.3">
      <c r="A361" s="31">
        <v>350</v>
      </c>
      <c r="B361" s="32">
        <v>2051726522282</v>
      </c>
      <c r="C361" s="31" t="s">
        <v>2246</v>
      </c>
      <c r="D361" s="31" t="s">
        <v>1580</v>
      </c>
      <c r="E361" s="31" t="s">
        <v>1580</v>
      </c>
      <c r="F361" s="31" t="s">
        <v>1944</v>
      </c>
      <c r="G361" s="31"/>
      <c r="H361" s="31" t="s">
        <v>2246</v>
      </c>
      <c r="I361" s="33">
        <v>148.36000000000001</v>
      </c>
      <c r="J361" s="34">
        <v>0.22</v>
      </c>
      <c r="K361" s="32">
        <v>181</v>
      </c>
      <c r="L361" s="31">
        <v>181</v>
      </c>
      <c r="M361" s="31" t="s">
        <v>309</v>
      </c>
      <c r="N361" s="32">
        <v>250</v>
      </c>
      <c r="O361" s="31" t="s">
        <v>309</v>
      </c>
      <c r="P361" s="31"/>
      <c r="Q361" s="31"/>
      <c r="R361" s="31"/>
      <c r="S361" s="31">
        <v>1</v>
      </c>
      <c r="T361" s="31"/>
      <c r="U361" s="31"/>
      <c r="V361" s="31"/>
      <c r="W361" s="31">
        <v>80</v>
      </c>
      <c r="X361" s="32">
        <v>260</v>
      </c>
      <c r="Y361" s="31">
        <v>80</v>
      </c>
      <c r="Z361" s="31" t="s">
        <v>889</v>
      </c>
      <c r="AA361" s="31"/>
      <c r="AB361" s="23">
        <f>_xlfn.XLOOKUP(E361,nomen!A:A,nomen!C:C,0)</f>
        <v>500</v>
      </c>
      <c r="AC361" s="31"/>
      <c r="AD361" s="31"/>
      <c r="AE361" s="31"/>
      <c r="AF361" s="27" t="s">
        <v>179</v>
      </c>
      <c r="AG361" s="35">
        <v>1.2</v>
      </c>
      <c r="AH361" s="33"/>
      <c r="AI361" s="21"/>
    </row>
    <row r="362" spans="1:35" x14ac:dyDescent="0.3">
      <c r="A362" s="31">
        <v>351</v>
      </c>
      <c r="B362" s="32">
        <v>2052415503698</v>
      </c>
      <c r="C362" s="31" t="s">
        <v>2247</v>
      </c>
      <c r="D362" s="31" t="s">
        <v>2135</v>
      </c>
      <c r="E362" s="31" t="s">
        <v>2135</v>
      </c>
      <c r="F362" s="31" t="s">
        <v>1944</v>
      </c>
      <c r="G362" s="31"/>
      <c r="H362" s="31" t="s">
        <v>2247</v>
      </c>
      <c r="I362" s="33">
        <v>429.51</v>
      </c>
      <c r="J362" s="34">
        <v>0.22</v>
      </c>
      <c r="K362" s="32">
        <v>524</v>
      </c>
      <c r="L362" s="31">
        <v>524</v>
      </c>
      <c r="M362" s="31" t="s">
        <v>309</v>
      </c>
      <c r="N362" s="32">
        <v>790</v>
      </c>
      <c r="O362" s="31" t="s">
        <v>309</v>
      </c>
      <c r="P362" s="31"/>
      <c r="Q362" s="31"/>
      <c r="R362" s="31"/>
      <c r="S362" s="31">
        <v>1</v>
      </c>
      <c r="T362" s="31"/>
      <c r="U362" s="31"/>
      <c r="V362" s="31"/>
      <c r="W362" s="31">
        <v>210</v>
      </c>
      <c r="X362" s="32">
        <v>300</v>
      </c>
      <c r="Y362" s="31">
        <v>140</v>
      </c>
      <c r="Z362" s="31" t="s">
        <v>889</v>
      </c>
      <c r="AA362" s="31"/>
      <c r="AB362" s="23">
        <f>_xlfn.XLOOKUP(E362,nomen!A:A,nomen!C:C,0)</f>
        <v>0</v>
      </c>
      <c r="AC362" s="31"/>
      <c r="AD362" s="31"/>
      <c r="AE362" s="31"/>
      <c r="AF362" s="27" t="s">
        <v>179</v>
      </c>
      <c r="AG362" s="35">
        <v>0.4</v>
      </c>
      <c r="AH362" s="33"/>
      <c r="AI362" s="21"/>
    </row>
    <row r="363" spans="1:35" x14ac:dyDescent="0.3">
      <c r="A363" s="31">
        <v>352</v>
      </c>
      <c r="B363" s="32">
        <v>2000649173484</v>
      </c>
      <c r="C363" s="31" t="s">
        <v>2248</v>
      </c>
      <c r="D363" s="31" t="s">
        <v>2249</v>
      </c>
      <c r="E363" s="31" t="s">
        <v>2249</v>
      </c>
      <c r="F363" s="31" t="s">
        <v>1944</v>
      </c>
      <c r="G363" s="31"/>
      <c r="H363" s="31" t="s">
        <v>2248</v>
      </c>
      <c r="I363" s="33">
        <v>66.39</v>
      </c>
      <c r="J363" s="34">
        <v>0.22</v>
      </c>
      <c r="K363" s="32">
        <v>81</v>
      </c>
      <c r="L363" s="31">
        <v>81</v>
      </c>
      <c r="M363" s="31" t="s">
        <v>309</v>
      </c>
      <c r="N363" s="32">
        <v>120</v>
      </c>
      <c r="O363" s="31" t="s">
        <v>309</v>
      </c>
      <c r="P363" s="31"/>
      <c r="Q363" s="31"/>
      <c r="R363" s="31"/>
      <c r="S363" s="31">
        <v>1</v>
      </c>
      <c r="T363" s="31"/>
      <c r="U363" s="31"/>
      <c r="V363" s="31"/>
      <c r="W363" s="31">
        <v>220</v>
      </c>
      <c r="X363" s="32">
        <v>250</v>
      </c>
      <c r="Y363" s="31">
        <v>20</v>
      </c>
      <c r="Z363" s="31" t="s">
        <v>889</v>
      </c>
      <c r="AA363" s="31"/>
      <c r="AB363" s="23">
        <f>_xlfn.XLOOKUP(E363,nomen!A:A,nomen!C:C,0)</f>
        <v>3995</v>
      </c>
      <c r="AC363" s="31"/>
      <c r="AD363" s="31"/>
      <c r="AE363" s="31"/>
      <c r="AF363" s="27" t="s">
        <v>179</v>
      </c>
      <c r="AG363" s="35">
        <v>0.1</v>
      </c>
      <c r="AH363" s="33"/>
      <c r="AI363" s="21"/>
    </row>
    <row r="364" spans="1:35" x14ac:dyDescent="0.3">
      <c r="A364" s="31">
        <v>353</v>
      </c>
      <c r="B364" s="32">
        <v>4673746974964</v>
      </c>
      <c r="C364" s="31" t="s">
        <v>2250</v>
      </c>
      <c r="D364" s="31" t="s">
        <v>2251</v>
      </c>
      <c r="E364" s="31" t="s">
        <v>2251</v>
      </c>
      <c r="F364" s="31" t="s">
        <v>1944</v>
      </c>
      <c r="G364" s="31"/>
      <c r="H364" s="31" t="s">
        <v>2250</v>
      </c>
      <c r="I364" s="33">
        <v>103.28</v>
      </c>
      <c r="J364" s="34">
        <v>0.22</v>
      </c>
      <c r="K364" s="32">
        <v>126</v>
      </c>
      <c r="L364" s="31">
        <v>126</v>
      </c>
      <c r="M364" s="31" t="s">
        <v>309</v>
      </c>
      <c r="N364" s="32">
        <v>190</v>
      </c>
      <c r="O364" s="31" t="s">
        <v>309</v>
      </c>
      <c r="P364" s="31"/>
      <c r="Q364" s="31"/>
      <c r="R364" s="31"/>
      <c r="S364" s="31">
        <v>1</v>
      </c>
      <c r="T364" s="31"/>
      <c r="U364" s="31"/>
      <c r="V364" s="31"/>
      <c r="W364" s="31">
        <v>230</v>
      </c>
      <c r="X364" s="32">
        <v>260</v>
      </c>
      <c r="Y364" s="31">
        <v>20</v>
      </c>
      <c r="Z364" s="31" t="s">
        <v>889</v>
      </c>
      <c r="AA364" s="31"/>
      <c r="AB364" s="23">
        <f>_xlfn.XLOOKUP(E364,nomen!A:A,nomen!C:C,0)</f>
        <v>5971</v>
      </c>
      <c r="AC364" s="31"/>
      <c r="AD364" s="31"/>
      <c r="AE364" s="31"/>
      <c r="AF364" s="27" t="s">
        <v>179</v>
      </c>
      <c r="AG364" s="35">
        <v>0.1</v>
      </c>
      <c r="AH364" s="33"/>
      <c r="AI364" s="21"/>
    </row>
    <row r="365" spans="1:35" x14ac:dyDescent="0.3">
      <c r="A365" s="31">
        <v>354</v>
      </c>
      <c r="B365" s="32">
        <v>4673746976111</v>
      </c>
      <c r="C365" s="31" t="s">
        <v>2252</v>
      </c>
      <c r="D365" s="31" t="s">
        <v>2253</v>
      </c>
      <c r="E365" s="31" t="s">
        <v>2253</v>
      </c>
      <c r="F365" s="31" t="s">
        <v>1944</v>
      </c>
      <c r="G365" s="31"/>
      <c r="H365" s="31" t="s">
        <v>2252</v>
      </c>
      <c r="I365" s="33">
        <v>252.46</v>
      </c>
      <c r="J365" s="34">
        <v>0.22</v>
      </c>
      <c r="K365" s="32">
        <v>308</v>
      </c>
      <c r="L365" s="31">
        <v>308</v>
      </c>
      <c r="M365" s="31" t="s">
        <v>309</v>
      </c>
      <c r="N365" s="32">
        <v>490</v>
      </c>
      <c r="O365" s="31" t="s">
        <v>309</v>
      </c>
      <c r="P365" s="31"/>
      <c r="Q365" s="31"/>
      <c r="R365" s="31"/>
      <c r="S365" s="31">
        <v>1</v>
      </c>
      <c r="T365" s="31"/>
      <c r="U365" s="31"/>
      <c r="V365" s="31"/>
      <c r="W365" s="31">
        <v>90</v>
      </c>
      <c r="X365" s="32">
        <v>220</v>
      </c>
      <c r="Y365" s="31">
        <v>60</v>
      </c>
      <c r="Z365" s="31" t="s">
        <v>889</v>
      </c>
      <c r="AA365" s="31"/>
      <c r="AB365" s="23">
        <f>_xlfn.XLOOKUP(E365,nomen!A:A,nomen!C:C,0)</f>
        <v>279</v>
      </c>
      <c r="AC365" s="31"/>
      <c r="AD365" s="31"/>
      <c r="AE365" s="31"/>
      <c r="AF365" s="27" t="s">
        <v>179</v>
      </c>
      <c r="AG365" s="35">
        <v>0.5</v>
      </c>
      <c r="AH365" s="33"/>
      <c r="AI365" s="21"/>
    </row>
    <row r="366" spans="1:35" x14ac:dyDescent="0.3">
      <c r="A366" s="31">
        <v>355</v>
      </c>
      <c r="B366" s="32">
        <v>4673746974025</v>
      </c>
      <c r="C366" s="31" t="s">
        <v>2254</v>
      </c>
      <c r="D366" s="31" t="s">
        <v>2152</v>
      </c>
      <c r="E366" s="31" t="s">
        <v>2152</v>
      </c>
      <c r="F366" s="31" t="s">
        <v>1944</v>
      </c>
      <c r="G366" s="31"/>
      <c r="H366" s="31" t="s">
        <v>2254</v>
      </c>
      <c r="I366" s="33">
        <v>72.95</v>
      </c>
      <c r="J366" s="34">
        <v>0.22</v>
      </c>
      <c r="K366" s="32">
        <v>89</v>
      </c>
      <c r="L366" s="31">
        <v>89</v>
      </c>
      <c r="M366" s="31" t="s">
        <v>309</v>
      </c>
      <c r="N366" s="32">
        <v>140</v>
      </c>
      <c r="O366" s="31" t="s">
        <v>309</v>
      </c>
      <c r="P366" s="31"/>
      <c r="Q366" s="31"/>
      <c r="R366" s="31"/>
      <c r="S366" s="31">
        <v>1</v>
      </c>
      <c r="T366" s="31"/>
      <c r="U366" s="31"/>
      <c r="V366" s="31"/>
      <c r="W366" s="31">
        <v>180</v>
      </c>
      <c r="X366" s="32">
        <v>50</v>
      </c>
      <c r="Y366" s="31">
        <v>50</v>
      </c>
      <c r="Z366" s="31" t="s">
        <v>889</v>
      </c>
      <c r="AA366" s="31"/>
      <c r="AB366" s="23">
        <f>_xlfn.XLOOKUP(E366,nomen!A:A,nomen!C:C,0)</f>
        <v>177</v>
      </c>
      <c r="AC366" s="31"/>
      <c r="AD366" s="31"/>
      <c r="AE366" s="31"/>
      <c r="AF366" s="27" t="s">
        <v>179</v>
      </c>
      <c r="AG366" s="35">
        <v>0.22</v>
      </c>
      <c r="AH366" s="33"/>
      <c r="AI366" s="21"/>
    </row>
    <row r="367" spans="1:35" x14ac:dyDescent="0.3">
      <c r="A367" s="31">
        <v>356</v>
      </c>
      <c r="B367" s="32">
        <v>4673746974063</v>
      </c>
      <c r="C367" s="31" t="s">
        <v>2255</v>
      </c>
      <c r="D367" s="31" t="s">
        <v>1579</v>
      </c>
      <c r="E367" s="31" t="s">
        <v>1579</v>
      </c>
      <c r="F367" s="31" t="s">
        <v>1944</v>
      </c>
      <c r="G367" s="31"/>
      <c r="H367" s="31" t="s">
        <v>2255</v>
      </c>
      <c r="I367" s="33">
        <v>232.79</v>
      </c>
      <c r="J367" s="34">
        <v>0.22</v>
      </c>
      <c r="K367" s="32">
        <v>284</v>
      </c>
      <c r="L367" s="31">
        <v>284</v>
      </c>
      <c r="M367" s="31" t="s">
        <v>309</v>
      </c>
      <c r="N367" s="32">
        <v>390</v>
      </c>
      <c r="O367" s="31" t="s">
        <v>309</v>
      </c>
      <c r="P367" s="31"/>
      <c r="Q367" s="31"/>
      <c r="R367" s="31"/>
      <c r="S367" s="31">
        <v>1</v>
      </c>
      <c r="T367" s="31"/>
      <c r="U367" s="31"/>
      <c r="V367" s="31"/>
      <c r="W367" s="31">
        <v>70</v>
      </c>
      <c r="X367" s="32">
        <v>200</v>
      </c>
      <c r="Y367" s="31">
        <v>70</v>
      </c>
      <c r="Z367" s="31" t="s">
        <v>889</v>
      </c>
      <c r="AA367" s="31"/>
      <c r="AB367" s="23">
        <f>_xlfn.XLOOKUP(E367,nomen!A:A,nomen!C:C,0)</f>
        <v>139</v>
      </c>
      <c r="AC367" s="31"/>
      <c r="AD367" s="31"/>
      <c r="AE367" s="31"/>
      <c r="AF367" s="27" t="s">
        <v>179</v>
      </c>
      <c r="AG367" s="35">
        <v>0.36</v>
      </c>
      <c r="AH367" s="33"/>
      <c r="AI367" s="21"/>
    </row>
    <row r="368" spans="1:35" x14ac:dyDescent="0.3">
      <c r="A368" s="31">
        <v>357</v>
      </c>
      <c r="B368" s="32">
        <v>4673746973868</v>
      </c>
      <c r="C368" s="31" t="s">
        <v>2256</v>
      </c>
      <c r="D368" s="31" t="s">
        <v>1625</v>
      </c>
      <c r="E368" s="31" t="s">
        <v>1625</v>
      </c>
      <c r="F368" s="31" t="s">
        <v>1944</v>
      </c>
      <c r="G368" s="31"/>
      <c r="H368" s="31" t="s">
        <v>2256</v>
      </c>
      <c r="I368" s="33">
        <v>755.74</v>
      </c>
      <c r="J368" s="34">
        <v>0.22</v>
      </c>
      <c r="K368" s="32">
        <v>922</v>
      </c>
      <c r="L368" s="31">
        <v>922</v>
      </c>
      <c r="M368" s="31" t="s">
        <v>309</v>
      </c>
      <c r="N368" s="32">
        <v>1390</v>
      </c>
      <c r="O368" s="31" t="s">
        <v>309</v>
      </c>
      <c r="P368" s="31"/>
      <c r="Q368" s="31"/>
      <c r="R368" s="31"/>
      <c r="S368" s="31">
        <v>1</v>
      </c>
      <c r="T368" s="31"/>
      <c r="U368" s="31"/>
      <c r="V368" s="31"/>
      <c r="W368" s="31">
        <v>110</v>
      </c>
      <c r="X368" s="32">
        <v>160</v>
      </c>
      <c r="Y368" s="31">
        <v>90</v>
      </c>
      <c r="Z368" s="31" t="s">
        <v>889</v>
      </c>
      <c r="AA368" s="31"/>
      <c r="AB368" s="23">
        <f>_xlfn.XLOOKUP(E368,nomen!A:A,nomen!C:C,0)</f>
        <v>112</v>
      </c>
      <c r="AC368" s="31"/>
      <c r="AD368" s="31"/>
      <c r="AE368" s="31"/>
      <c r="AF368" s="27" t="s">
        <v>179</v>
      </c>
      <c r="AG368" s="35">
        <v>0.4</v>
      </c>
      <c r="AH368" s="33"/>
      <c r="AI368" s="21"/>
    </row>
    <row r="369" spans="1:35" x14ac:dyDescent="0.3">
      <c r="A369" s="31">
        <v>358</v>
      </c>
      <c r="B369" s="32">
        <v>4673746973929</v>
      </c>
      <c r="C369" s="31" t="s">
        <v>2257</v>
      </c>
      <c r="D369" s="31" t="s">
        <v>1586</v>
      </c>
      <c r="E369" s="31" t="s">
        <v>1586</v>
      </c>
      <c r="F369" s="31" t="s">
        <v>1944</v>
      </c>
      <c r="G369" s="31"/>
      <c r="H369" s="31" t="s">
        <v>2257</v>
      </c>
      <c r="I369" s="33">
        <v>470.49</v>
      </c>
      <c r="J369" s="34">
        <v>0.22</v>
      </c>
      <c r="K369" s="32">
        <v>574</v>
      </c>
      <c r="L369" s="31">
        <v>574</v>
      </c>
      <c r="M369" s="31" t="s">
        <v>309</v>
      </c>
      <c r="N369" s="32">
        <v>790</v>
      </c>
      <c r="O369" s="31" t="s">
        <v>309</v>
      </c>
      <c r="P369" s="31"/>
      <c r="Q369" s="31"/>
      <c r="R369" s="31"/>
      <c r="S369" s="31">
        <v>1</v>
      </c>
      <c r="T369" s="31"/>
      <c r="U369" s="31"/>
      <c r="V369" s="31"/>
      <c r="W369" s="31">
        <v>50</v>
      </c>
      <c r="X369" s="32">
        <v>170</v>
      </c>
      <c r="Y369" s="31">
        <v>50</v>
      </c>
      <c r="Z369" s="31" t="s">
        <v>889</v>
      </c>
      <c r="AA369" s="31"/>
      <c r="AB369" s="23">
        <f>_xlfn.XLOOKUP(E369,nomen!A:A,nomen!C:C,0)</f>
        <v>156</v>
      </c>
      <c r="AC369" s="31"/>
      <c r="AD369" s="31"/>
      <c r="AE369" s="31"/>
      <c r="AF369" s="27" t="s">
        <v>179</v>
      </c>
      <c r="AG369" s="35">
        <v>0.26</v>
      </c>
      <c r="AH369" s="33"/>
      <c r="AI369" s="21"/>
    </row>
    <row r="370" spans="1:35" x14ac:dyDescent="0.3">
      <c r="A370" s="31">
        <v>359</v>
      </c>
      <c r="B370" s="32">
        <v>4673746974001</v>
      </c>
      <c r="C370" s="31" t="s">
        <v>2258</v>
      </c>
      <c r="D370" s="31" t="s">
        <v>1634</v>
      </c>
      <c r="E370" s="31" t="s">
        <v>1634</v>
      </c>
      <c r="F370" s="31" t="s">
        <v>1944</v>
      </c>
      <c r="G370" s="31"/>
      <c r="H370" s="31" t="s">
        <v>2258</v>
      </c>
      <c r="I370" s="33">
        <v>1598.36</v>
      </c>
      <c r="J370" s="34">
        <v>0.22</v>
      </c>
      <c r="K370" s="32">
        <v>1950</v>
      </c>
      <c r="L370" s="31">
        <v>1950</v>
      </c>
      <c r="M370" s="31" t="s">
        <v>309</v>
      </c>
      <c r="N370" s="32">
        <v>2690</v>
      </c>
      <c r="O370" s="31" t="s">
        <v>309</v>
      </c>
      <c r="P370" s="31"/>
      <c r="Q370" s="31"/>
      <c r="R370" s="31"/>
      <c r="S370" s="31">
        <v>1</v>
      </c>
      <c r="T370" s="31"/>
      <c r="U370" s="31"/>
      <c r="V370" s="31"/>
      <c r="W370" s="31">
        <v>80</v>
      </c>
      <c r="X370" s="32">
        <v>250</v>
      </c>
      <c r="Y370" s="31">
        <v>80</v>
      </c>
      <c r="Z370" s="31" t="s">
        <v>889</v>
      </c>
      <c r="AA370" s="31"/>
      <c r="AB370" s="23">
        <f>_xlfn.XLOOKUP(E370,nomen!A:A,nomen!C:C,0)</f>
        <v>177</v>
      </c>
      <c r="AC370" s="31"/>
      <c r="AD370" s="31"/>
      <c r="AE370" s="31"/>
      <c r="AF370" s="27" t="s">
        <v>179</v>
      </c>
      <c r="AG370" s="35">
        <v>0.9</v>
      </c>
      <c r="AH370" s="33"/>
      <c r="AI370" s="21"/>
    </row>
    <row r="371" spans="1:35" x14ac:dyDescent="0.3">
      <c r="A371" s="31">
        <v>360</v>
      </c>
      <c r="B371" s="32">
        <v>4673746976173</v>
      </c>
      <c r="C371" s="31" t="s">
        <v>2259</v>
      </c>
      <c r="D371" s="31" t="s">
        <v>1571</v>
      </c>
      <c r="E371" s="31" t="s">
        <v>1571</v>
      </c>
      <c r="F371" s="31" t="s">
        <v>1944</v>
      </c>
      <c r="G371" s="31"/>
      <c r="H371" s="31" t="s">
        <v>2259</v>
      </c>
      <c r="I371" s="33">
        <v>86.89</v>
      </c>
      <c r="J371" s="34">
        <v>0.22</v>
      </c>
      <c r="K371" s="32">
        <v>106</v>
      </c>
      <c r="L371" s="31">
        <v>106</v>
      </c>
      <c r="M371" s="31" t="s">
        <v>309</v>
      </c>
      <c r="N371" s="32">
        <v>160</v>
      </c>
      <c r="O371" s="31" t="s">
        <v>309</v>
      </c>
      <c r="P371" s="31"/>
      <c r="Q371" s="31"/>
      <c r="R371" s="31"/>
      <c r="S371" s="31">
        <v>1</v>
      </c>
      <c r="T371" s="31"/>
      <c r="U371" s="31"/>
      <c r="V371" s="31"/>
      <c r="W371" s="31">
        <v>220</v>
      </c>
      <c r="X371" s="32">
        <v>240</v>
      </c>
      <c r="Y371" s="31">
        <v>20</v>
      </c>
      <c r="Z371" s="31" t="s">
        <v>889</v>
      </c>
      <c r="AA371" s="31"/>
      <c r="AB371" s="23">
        <f>_xlfn.XLOOKUP(E371,nomen!A:A,nomen!C:C,0)</f>
        <v>640</v>
      </c>
      <c r="AC371" s="31"/>
      <c r="AD371" s="31"/>
      <c r="AE371" s="31"/>
      <c r="AF371" s="27" t="s">
        <v>179</v>
      </c>
      <c r="AG371" s="35">
        <v>0.1</v>
      </c>
      <c r="AH371" s="33"/>
      <c r="AI371" s="21"/>
    </row>
    <row r="372" spans="1:35" x14ac:dyDescent="0.3">
      <c r="A372" s="31">
        <v>361</v>
      </c>
      <c r="B372" s="32">
        <v>4673746976272</v>
      </c>
      <c r="C372" s="31" t="s">
        <v>2260</v>
      </c>
      <c r="D372" s="31" t="s">
        <v>2261</v>
      </c>
      <c r="E372" s="31" t="s">
        <v>2261</v>
      </c>
      <c r="F372" s="31" t="s">
        <v>1944</v>
      </c>
      <c r="G372" s="31"/>
      <c r="H372" s="31" t="s">
        <v>2260</v>
      </c>
      <c r="I372" s="33">
        <v>252.46</v>
      </c>
      <c r="J372" s="34">
        <v>0.22</v>
      </c>
      <c r="K372" s="32">
        <v>308</v>
      </c>
      <c r="L372" s="31">
        <v>308</v>
      </c>
      <c r="M372" s="31" t="s">
        <v>309</v>
      </c>
      <c r="N372" s="32">
        <v>490</v>
      </c>
      <c r="O372" s="31" t="s">
        <v>309</v>
      </c>
      <c r="P372" s="31"/>
      <c r="Q372" s="31"/>
      <c r="R372" s="31"/>
      <c r="S372" s="31">
        <v>1</v>
      </c>
      <c r="T372" s="31"/>
      <c r="U372" s="31"/>
      <c r="V372" s="31"/>
      <c r="W372" s="31">
        <v>70</v>
      </c>
      <c r="X372" s="32">
        <v>230</v>
      </c>
      <c r="Y372" s="31">
        <v>70</v>
      </c>
      <c r="Z372" s="31" t="s">
        <v>889</v>
      </c>
      <c r="AA372" s="31"/>
      <c r="AB372" s="23">
        <f>_xlfn.XLOOKUP(E372,nomen!A:A,nomen!C:C,0)</f>
        <v>379</v>
      </c>
      <c r="AC372" s="31"/>
      <c r="AD372" s="31"/>
      <c r="AE372" s="31"/>
      <c r="AF372" s="27" t="s">
        <v>179</v>
      </c>
      <c r="AG372" s="35">
        <v>0.5</v>
      </c>
      <c r="AH372" s="33"/>
      <c r="AI372" s="21"/>
    </row>
    <row r="373" spans="1:35" x14ac:dyDescent="0.3">
      <c r="A373" s="31">
        <v>362</v>
      </c>
      <c r="B373" s="32">
        <v>4673746974070</v>
      </c>
      <c r="C373" s="31" t="s">
        <v>2262</v>
      </c>
      <c r="D373" s="31" t="s">
        <v>1574</v>
      </c>
      <c r="E373" s="31" t="s">
        <v>1574</v>
      </c>
      <c r="F373" s="31" t="s">
        <v>1944</v>
      </c>
      <c r="G373" s="31"/>
      <c r="H373" s="31" t="s">
        <v>2262</v>
      </c>
      <c r="I373" s="33">
        <v>290.98</v>
      </c>
      <c r="J373" s="34">
        <v>0.22</v>
      </c>
      <c r="K373" s="32">
        <v>355</v>
      </c>
      <c r="L373" s="31">
        <v>355</v>
      </c>
      <c r="M373" s="31" t="s">
        <v>309</v>
      </c>
      <c r="N373" s="32">
        <v>490</v>
      </c>
      <c r="O373" s="31" t="s">
        <v>309</v>
      </c>
      <c r="P373" s="31"/>
      <c r="Q373" s="31"/>
      <c r="R373" s="31"/>
      <c r="S373" s="31">
        <v>1</v>
      </c>
      <c r="T373" s="31"/>
      <c r="U373" s="31"/>
      <c r="V373" s="31"/>
      <c r="W373" s="31">
        <v>70</v>
      </c>
      <c r="X373" s="32">
        <v>200</v>
      </c>
      <c r="Y373" s="31">
        <v>70</v>
      </c>
      <c r="Z373" s="31" t="s">
        <v>889</v>
      </c>
      <c r="AA373" s="31"/>
      <c r="AB373" s="23">
        <f>_xlfn.XLOOKUP(E373,nomen!A:A,nomen!C:C,0)</f>
        <v>296</v>
      </c>
      <c r="AC373" s="31"/>
      <c r="AD373" s="31"/>
      <c r="AE373" s="31"/>
      <c r="AF373" s="27" t="s">
        <v>179</v>
      </c>
      <c r="AG373" s="35">
        <v>0.35</v>
      </c>
      <c r="AH373" s="33"/>
      <c r="AI373" s="21"/>
    </row>
    <row r="374" spans="1:35" x14ac:dyDescent="0.3">
      <c r="A374" s="31">
        <v>363</v>
      </c>
      <c r="B374" s="32">
        <v>2045930359833</v>
      </c>
      <c r="C374" s="31" t="s">
        <v>2263</v>
      </c>
      <c r="D374" s="31" t="s">
        <v>2057</v>
      </c>
      <c r="E374" s="31" t="s">
        <v>2057</v>
      </c>
      <c r="F374" s="31" t="s">
        <v>1944</v>
      </c>
      <c r="G374" s="31"/>
      <c r="H374" s="31" t="s">
        <v>2263</v>
      </c>
      <c r="I374" s="33">
        <v>27.87</v>
      </c>
      <c r="J374" s="34">
        <v>0.22</v>
      </c>
      <c r="K374" s="32">
        <v>34</v>
      </c>
      <c r="L374" s="31">
        <v>34</v>
      </c>
      <c r="M374" s="31" t="s">
        <v>309</v>
      </c>
      <c r="N374" s="32">
        <v>50</v>
      </c>
      <c r="O374" s="31" t="s">
        <v>309</v>
      </c>
      <c r="P374" s="31"/>
      <c r="Q374" s="31"/>
      <c r="R374" s="31"/>
      <c r="S374" s="31">
        <v>1</v>
      </c>
      <c r="T374" s="31"/>
      <c r="U374" s="31"/>
      <c r="V374" s="31"/>
      <c r="W374" s="31">
        <v>120</v>
      </c>
      <c r="X374" s="32">
        <v>200</v>
      </c>
      <c r="Y374" s="31">
        <v>50</v>
      </c>
      <c r="Z374" s="31" t="s">
        <v>889</v>
      </c>
      <c r="AA374" s="31"/>
      <c r="AB374" s="23">
        <f>_xlfn.XLOOKUP(E374,nomen!A:A,nomen!C:C,0)</f>
        <v>0</v>
      </c>
      <c r="AC374" s="31"/>
      <c r="AD374" s="31"/>
      <c r="AE374" s="31"/>
      <c r="AF374" s="27" t="s">
        <v>179</v>
      </c>
      <c r="AG374" s="35">
        <v>2.1999999999999999E-2</v>
      </c>
      <c r="AH374" s="33"/>
      <c r="AI374" s="21"/>
    </row>
    <row r="375" spans="1:35" x14ac:dyDescent="0.3">
      <c r="A375" s="31">
        <v>364</v>
      </c>
      <c r="B375" s="32">
        <v>4610504430775</v>
      </c>
      <c r="C375" s="31" t="s">
        <v>2264</v>
      </c>
      <c r="D375" s="31" t="s">
        <v>1622</v>
      </c>
      <c r="E375" s="31" t="s">
        <v>1622</v>
      </c>
      <c r="F375" s="31" t="s">
        <v>1944</v>
      </c>
      <c r="G375" s="31"/>
      <c r="H375" s="31" t="s">
        <v>2264</v>
      </c>
      <c r="I375" s="33">
        <v>351.64</v>
      </c>
      <c r="J375" s="34">
        <v>0.22</v>
      </c>
      <c r="K375" s="32">
        <v>429</v>
      </c>
      <c r="L375" s="31">
        <v>429</v>
      </c>
      <c r="M375" s="31" t="s">
        <v>309</v>
      </c>
      <c r="N375" s="32">
        <v>590</v>
      </c>
      <c r="O375" s="31" t="s">
        <v>309</v>
      </c>
      <c r="P375" s="31"/>
      <c r="Q375" s="31"/>
      <c r="R375" s="31"/>
      <c r="S375" s="31">
        <v>1</v>
      </c>
      <c r="T375" s="31"/>
      <c r="U375" s="31"/>
      <c r="V375" s="31"/>
      <c r="W375" s="31">
        <v>190</v>
      </c>
      <c r="X375" s="32">
        <v>250</v>
      </c>
      <c r="Y375" s="31">
        <v>150</v>
      </c>
      <c r="Z375" s="31" t="s">
        <v>889</v>
      </c>
      <c r="AA375" s="31"/>
      <c r="AB375" s="23">
        <f>_xlfn.XLOOKUP(E375,nomen!A:A,nomen!C:C,0)</f>
        <v>108</v>
      </c>
      <c r="AC375" s="31"/>
      <c r="AD375" s="31"/>
      <c r="AE375" s="31"/>
      <c r="AF375" s="27" t="s">
        <v>179</v>
      </c>
      <c r="AG375" s="35">
        <v>5.5</v>
      </c>
      <c r="AH375" s="33"/>
      <c r="AI375" s="21"/>
    </row>
    <row r="376" spans="1:35" x14ac:dyDescent="0.3">
      <c r="A376" s="31">
        <v>365</v>
      </c>
      <c r="B376" s="32">
        <v>4673746973950</v>
      </c>
      <c r="C376" s="31" t="s">
        <v>2265</v>
      </c>
      <c r="D376" s="31" t="s">
        <v>1610</v>
      </c>
      <c r="E376" s="31" t="s">
        <v>1610</v>
      </c>
      <c r="F376" s="31" t="s">
        <v>1944</v>
      </c>
      <c r="G376" s="31"/>
      <c r="H376" s="31" t="s">
        <v>2265</v>
      </c>
      <c r="I376" s="33">
        <v>3858.2</v>
      </c>
      <c r="J376" s="34">
        <v>0.22</v>
      </c>
      <c r="K376" s="32">
        <v>4707</v>
      </c>
      <c r="L376" s="31">
        <v>4707</v>
      </c>
      <c r="M376" s="31" t="s">
        <v>309</v>
      </c>
      <c r="N376" s="32">
        <v>6290</v>
      </c>
      <c r="O376" s="31" t="s">
        <v>309</v>
      </c>
      <c r="P376" s="31"/>
      <c r="Q376" s="31"/>
      <c r="R376" s="31"/>
      <c r="S376" s="31">
        <v>1</v>
      </c>
      <c r="T376" s="31"/>
      <c r="U376" s="31"/>
      <c r="V376" s="31"/>
      <c r="W376" s="31">
        <v>150</v>
      </c>
      <c r="X376" s="32">
        <v>220</v>
      </c>
      <c r="Y376" s="31">
        <v>60</v>
      </c>
      <c r="Z376" s="31" t="s">
        <v>889</v>
      </c>
      <c r="AA376" s="31"/>
      <c r="AB376" s="23">
        <f>_xlfn.XLOOKUP(E376,nomen!A:A,nomen!C:C,0)</f>
        <v>174</v>
      </c>
      <c r="AC376" s="31"/>
      <c r="AD376" s="31"/>
      <c r="AE376" s="31"/>
      <c r="AF376" s="27" t="s">
        <v>179</v>
      </c>
      <c r="AG376" s="35">
        <v>1.2</v>
      </c>
      <c r="AH376" s="33"/>
      <c r="AI376" s="21"/>
    </row>
    <row r="377" spans="1:35" x14ac:dyDescent="0.3">
      <c r="A377" s="31">
        <v>366</v>
      </c>
      <c r="B377" s="32">
        <v>4673746973967</v>
      </c>
      <c r="C377" s="31" t="s">
        <v>2266</v>
      </c>
      <c r="D377" s="31" t="s">
        <v>1632</v>
      </c>
      <c r="E377" s="31" t="s">
        <v>1632</v>
      </c>
      <c r="F377" s="31" t="s">
        <v>1944</v>
      </c>
      <c r="G377" s="31"/>
      <c r="H377" s="31" t="s">
        <v>2266</v>
      </c>
      <c r="I377" s="33">
        <v>2999.18</v>
      </c>
      <c r="J377" s="34">
        <v>0.22</v>
      </c>
      <c r="K377" s="32">
        <v>3659</v>
      </c>
      <c r="L377" s="31">
        <v>3659</v>
      </c>
      <c r="M377" s="31" t="s">
        <v>309</v>
      </c>
      <c r="N377" s="32">
        <v>4890</v>
      </c>
      <c r="O377" s="31" t="s">
        <v>309</v>
      </c>
      <c r="P377" s="31"/>
      <c r="Q377" s="31"/>
      <c r="R377" s="31"/>
      <c r="S377" s="31">
        <v>1</v>
      </c>
      <c r="T377" s="31"/>
      <c r="U377" s="31"/>
      <c r="V377" s="31"/>
      <c r="W377" s="31">
        <v>100</v>
      </c>
      <c r="X377" s="32">
        <v>300</v>
      </c>
      <c r="Y377" s="31">
        <v>80</v>
      </c>
      <c r="Z377" s="31" t="s">
        <v>889</v>
      </c>
      <c r="AA377" s="31"/>
      <c r="AB377" s="23">
        <f>_xlfn.XLOOKUP(E377,nomen!A:A,nomen!C:C,0)</f>
        <v>89</v>
      </c>
      <c r="AC377" s="31"/>
      <c r="AD377" s="31"/>
      <c r="AE377" s="31"/>
      <c r="AF377" s="27" t="s">
        <v>179</v>
      </c>
      <c r="AG377" s="35">
        <v>0.8</v>
      </c>
      <c r="AH377" s="33"/>
      <c r="AI377" s="21"/>
    </row>
    <row r="378" spans="1:35" x14ac:dyDescent="0.3">
      <c r="A378" s="31">
        <v>367</v>
      </c>
      <c r="B378" s="32">
        <v>4673746973998</v>
      </c>
      <c r="C378" s="31" t="s">
        <v>2267</v>
      </c>
      <c r="D378" s="31" t="s">
        <v>1605</v>
      </c>
      <c r="E378" s="31" t="s">
        <v>1605</v>
      </c>
      <c r="F378" s="31" t="s">
        <v>1944</v>
      </c>
      <c r="G378" s="31"/>
      <c r="H378" s="31" t="s">
        <v>2267</v>
      </c>
      <c r="I378" s="33">
        <v>1221.31</v>
      </c>
      <c r="J378" s="34">
        <v>0.22</v>
      </c>
      <c r="K378" s="32">
        <v>1490</v>
      </c>
      <c r="L378" s="31">
        <v>1490</v>
      </c>
      <c r="M378" s="31" t="s">
        <v>309</v>
      </c>
      <c r="N378" s="32">
        <v>1990</v>
      </c>
      <c r="O378" s="31" t="s">
        <v>309</v>
      </c>
      <c r="P378" s="31"/>
      <c r="Q378" s="31"/>
      <c r="R378" s="31"/>
      <c r="S378" s="31">
        <v>1</v>
      </c>
      <c r="T378" s="31"/>
      <c r="U378" s="31"/>
      <c r="V378" s="31"/>
      <c r="W378" s="31">
        <v>110</v>
      </c>
      <c r="X378" s="32">
        <v>110</v>
      </c>
      <c r="Y378" s="31">
        <v>90</v>
      </c>
      <c r="Z378" s="31" t="s">
        <v>889</v>
      </c>
      <c r="AA378" s="31"/>
      <c r="AB378" s="23">
        <f>_xlfn.XLOOKUP(E378,nomen!A:A,nomen!C:C,0)</f>
        <v>129</v>
      </c>
      <c r="AC378" s="31"/>
      <c r="AD378" s="31"/>
      <c r="AE378" s="31"/>
      <c r="AF378" s="27" t="s">
        <v>179</v>
      </c>
      <c r="AG378" s="35">
        <v>0.2</v>
      </c>
      <c r="AH378" s="33"/>
      <c r="AI378" s="21"/>
    </row>
    <row r="379" spans="1:35" x14ac:dyDescent="0.3">
      <c r="A379" s="31">
        <v>368</v>
      </c>
      <c r="B379" s="32">
        <v>4673746973974</v>
      </c>
      <c r="C379" s="31" t="s">
        <v>2268</v>
      </c>
      <c r="D379" s="31" t="s">
        <v>1631</v>
      </c>
      <c r="E379" s="31" t="s">
        <v>1631</v>
      </c>
      <c r="F379" s="31" t="s">
        <v>1944</v>
      </c>
      <c r="G379" s="31"/>
      <c r="H379" s="31" t="s">
        <v>2268</v>
      </c>
      <c r="I379" s="33">
        <v>1527.05</v>
      </c>
      <c r="J379" s="34">
        <v>0.22</v>
      </c>
      <c r="K379" s="32">
        <v>1863</v>
      </c>
      <c r="L379" s="31">
        <v>1863</v>
      </c>
      <c r="M379" s="31" t="s">
        <v>309</v>
      </c>
      <c r="N379" s="32">
        <v>2490</v>
      </c>
      <c r="O379" s="31" t="s">
        <v>309</v>
      </c>
      <c r="P379" s="31"/>
      <c r="Q379" s="31"/>
      <c r="R379" s="31"/>
      <c r="S379" s="31">
        <v>1</v>
      </c>
      <c r="T379" s="31"/>
      <c r="U379" s="31"/>
      <c r="V379" s="31"/>
      <c r="W379" s="31">
        <v>110</v>
      </c>
      <c r="X379" s="32">
        <v>220</v>
      </c>
      <c r="Y379" s="31">
        <v>50</v>
      </c>
      <c r="Z379" s="31" t="s">
        <v>889</v>
      </c>
      <c r="AA379" s="31"/>
      <c r="AB379" s="23">
        <f>_xlfn.XLOOKUP(E379,nomen!A:A,nomen!C:C,0)</f>
        <v>42</v>
      </c>
      <c r="AC379" s="31"/>
      <c r="AD379" s="31"/>
      <c r="AE379" s="31"/>
      <c r="AF379" s="27" t="s">
        <v>179</v>
      </c>
      <c r="AG379" s="35">
        <v>0.22</v>
      </c>
      <c r="AH379" s="33"/>
      <c r="AI379" s="21"/>
    </row>
    <row r="380" spans="1:35" x14ac:dyDescent="0.3">
      <c r="A380" s="31">
        <v>369</v>
      </c>
      <c r="B380" s="32">
        <v>4673746973981</v>
      </c>
      <c r="C380" s="31" t="s">
        <v>2269</v>
      </c>
      <c r="D380" s="31" t="s">
        <v>1588</v>
      </c>
      <c r="E380" s="31" t="s">
        <v>1588</v>
      </c>
      <c r="F380" s="31" t="s">
        <v>1944</v>
      </c>
      <c r="G380" s="31"/>
      <c r="H380" s="31" t="s">
        <v>2269</v>
      </c>
      <c r="I380" s="33">
        <v>1466.39</v>
      </c>
      <c r="J380" s="34">
        <v>0.22</v>
      </c>
      <c r="K380" s="32">
        <v>1789</v>
      </c>
      <c r="L380" s="31">
        <v>1789</v>
      </c>
      <c r="M380" s="31" t="s">
        <v>309</v>
      </c>
      <c r="N380" s="32">
        <v>2390</v>
      </c>
      <c r="O380" s="31" t="s">
        <v>309</v>
      </c>
      <c r="P380" s="31"/>
      <c r="Q380" s="31"/>
      <c r="R380" s="31"/>
      <c r="S380" s="31">
        <v>1</v>
      </c>
      <c r="T380" s="31"/>
      <c r="U380" s="31"/>
      <c r="V380" s="31"/>
      <c r="W380" s="31">
        <v>110</v>
      </c>
      <c r="X380" s="32">
        <v>110</v>
      </c>
      <c r="Y380" s="31">
        <v>90</v>
      </c>
      <c r="Z380" s="31" t="s">
        <v>889</v>
      </c>
      <c r="AA380" s="31"/>
      <c r="AB380" s="23">
        <f>_xlfn.XLOOKUP(E380,nomen!A:A,nomen!C:C,0)</f>
        <v>35</v>
      </c>
      <c r="AC380" s="31"/>
      <c r="AD380" s="31"/>
      <c r="AE380" s="31"/>
      <c r="AF380" s="27" t="s">
        <v>179</v>
      </c>
      <c r="AG380" s="35">
        <v>0.2</v>
      </c>
      <c r="AH380" s="33"/>
      <c r="AI380" s="21"/>
    </row>
    <row r="381" spans="1:35" x14ac:dyDescent="0.3">
      <c r="A381" s="31">
        <v>370</v>
      </c>
      <c r="B381" s="32">
        <v>4673746974940</v>
      </c>
      <c r="C381" s="31" t="s">
        <v>2270</v>
      </c>
      <c r="D381" s="31" t="s">
        <v>1577</v>
      </c>
      <c r="E381" s="31" t="s">
        <v>1577</v>
      </c>
      <c r="F381" s="31" t="s">
        <v>1944</v>
      </c>
      <c r="G381" s="31"/>
      <c r="H381" s="31" t="s">
        <v>2270</v>
      </c>
      <c r="I381" s="33">
        <v>212.3</v>
      </c>
      <c r="J381" s="34">
        <v>0.22</v>
      </c>
      <c r="K381" s="32">
        <v>259</v>
      </c>
      <c r="L381" s="31">
        <v>259</v>
      </c>
      <c r="M381" s="31" t="s">
        <v>309</v>
      </c>
      <c r="N381" s="32">
        <v>390</v>
      </c>
      <c r="O381" s="31" t="s">
        <v>309</v>
      </c>
      <c r="P381" s="31"/>
      <c r="Q381" s="31"/>
      <c r="R381" s="31"/>
      <c r="S381" s="31">
        <v>1</v>
      </c>
      <c r="T381" s="31"/>
      <c r="U381" s="31"/>
      <c r="V381" s="31"/>
      <c r="W381" s="31">
        <v>100</v>
      </c>
      <c r="X381" s="32">
        <v>300</v>
      </c>
      <c r="Y381" s="31">
        <v>200</v>
      </c>
      <c r="Z381" s="31" t="s">
        <v>889</v>
      </c>
      <c r="AA381" s="31"/>
      <c r="AB381" s="23">
        <f>_xlfn.XLOOKUP(E381,nomen!A:A,nomen!C:C,0)</f>
        <v>844</v>
      </c>
      <c r="AC381" s="31"/>
      <c r="AD381" s="31"/>
      <c r="AE381" s="31"/>
      <c r="AF381" s="27" t="s">
        <v>179</v>
      </c>
      <c r="AG381" s="35">
        <v>0.1</v>
      </c>
      <c r="AH381" s="33"/>
      <c r="AI381" s="21"/>
    </row>
    <row r="382" spans="1:35" x14ac:dyDescent="0.3">
      <c r="A382" s="31">
        <v>371</v>
      </c>
      <c r="B382" s="32">
        <v>4673746973844</v>
      </c>
      <c r="C382" s="31" t="s">
        <v>2271</v>
      </c>
      <c r="D382" s="31" t="s">
        <v>1617</v>
      </c>
      <c r="E382" s="31" t="s">
        <v>1617</v>
      </c>
      <c r="F382" s="31" t="s">
        <v>1944</v>
      </c>
      <c r="G382" s="31"/>
      <c r="H382" s="31" t="s">
        <v>2271</v>
      </c>
      <c r="I382" s="33">
        <v>266.39</v>
      </c>
      <c r="J382" s="34">
        <v>0.22</v>
      </c>
      <c r="K382" s="32">
        <v>325</v>
      </c>
      <c r="L382" s="31">
        <v>325</v>
      </c>
      <c r="M382" s="31" t="s">
        <v>309</v>
      </c>
      <c r="N382" s="32">
        <v>490</v>
      </c>
      <c r="O382" s="31" t="s">
        <v>309</v>
      </c>
      <c r="P382" s="31"/>
      <c r="Q382" s="31"/>
      <c r="R382" s="31"/>
      <c r="S382" s="31">
        <v>1</v>
      </c>
      <c r="T382" s="31"/>
      <c r="U382" s="31"/>
      <c r="V382" s="31"/>
      <c r="W382" s="31">
        <v>50</v>
      </c>
      <c r="X382" s="32">
        <v>220</v>
      </c>
      <c r="Y382" s="31">
        <v>180</v>
      </c>
      <c r="Z382" s="31" t="s">
        <v>889</v>
      </c>
      <c r="AA382" s="31"/>
      <c r="AB382" s="23">
        <f>_xlfn.XLOOKUP(E382,nomen!A:A,nomen!C:C,0)</f>
        <v>289</v>
      </c>
      <c r="AC382" s="31"/>
      <c r="AD382" s="31"/>
      <c r="AE382" s="31"/>
      <c r="AF382" s="27" t="s">
        <v>179</v>
      </c>
      <c r="AG382" s="35">
        <v>0.10100000000000001</v>
      </c>
      <c r="AH382" s="33"/>
      <c r="AI382" s="21"/>
    </row>
    <row r="383" spans="1:35" x14ac:dyDescent="0.3">
      <c r="A383" s="31">
        <v>372</v>
      </c>
      <c r="B383" s="32">
        <v>4673746973875</v>
      </c>
      <c r="C383" s="31" t="s">
        <v>2272</v>
      </c>
      <c r="D383" s="31" t="s">
        <v>2273</v>
      </c>
      <c r="E383" s="31" t="s">
        <v>2273</v>
      </c>
      <c r="F383" s="31" t="s">
        <v>1944</v>
      </c>
      <c r="G383" s="31"/>
      <c r="H383" s="31" t="s">
        <v>2272</v>
      </c>
      <c r="I383" s="33">
        <v>104.1</v>
      </c>
      <c r="J383" s="34">
        <v>0.22</v>
      </c>
      <c r="K383" s="32">
        <v>127</v>
      </c>
      <c r="L383" s="31">
        <v>127</v>
      </c>
      <c r="M383" s="31" t="s">
        <v>309</v>
      </c>
      <c r="N383" s="32">
        <v>190</v>
      </c>
      <c r="O383" s="31" t="s">
        <v>309</v>
      </c>
      <c r="P383" s="31"/>
      <c r="Q383" s="31"/>
      <c r="R383" s="31"/>
      <c r="S383" s="31">
        <v>1</v>
      </c>
      <c r="T383" s="31"/>
      <c r="U383" s="31"/>
      <c r="V383" s="31"/>
      <c r="W383" s="31">
        <v>20</v>
      </c>
      <c r="X383" s="32">
        <v>200</v>
      </c>
      <c r="Y383" s="31">
        <v>50</v>
      </c>
      <c r="Z383" s="31" t="s">
        <v>889</v>
      </c>
      <c r="AA383" s="31"/>
      <c r="AB383" s="23">
        <f>_xlfn.XLOOKUP(E383,nomen!A:A,nomen!C:C,0)</f>
        <v>317</v>
      </c>
      <c r="AC383" s="31"/>
      <c r="AD383" s="31"/>
      <c r="AE383" s="31"/>
      <c r="AF383" s="27" t="s">
        <v>179</v>
      </c>
      <c r="AG383" s="35">
        <v>1.2999999999999999E-2</v>
      </c>
      <c r="AH383" s="33"/>
      <c r="AI383" s="21"/>
    </row>
    <row r="384" spans="1:35" x14ac:dyDescent="0.3">
      <c r="A384" s="31">
        <v>373</v>
      </c>
      <c r="B384" s="32">
        <v>4673746973851</v>
      </c>
      <c r="C384" s="31" t="s">
        <v>2274</v>
      </c>
      <c r="D384" s="31" t="s">
        <v>1787</v>
      </c>
      <c r="E384" s="31" t="s">
        <v>1787</v>
      </c>
      <c r="F384" s="31" t="s">
        <v>1944</v>
      </c>
      <c r="G384" s="31"/>
      <c r="H384" s="31" t="s">
        <v>2274</v>
      </c>
      <c r="I384" s="33">
        <v>266.39</v>
      </c>
      <c r="J384" s="34">
        <v>0.22</v>
      </c>
      <c r="K384" s="32">
        <v>325</v>
      </c>
      <c r="L384" s="31">
        <v>325</v>
      </c>
      <c r="M384" s="31" t="s">
        <v>309</v>
      </c>
      <c r="N384" s="32">
        <v>490</v>
      </c>
      <c r="O384" s="31" t="s">
        <v>309</v>
      </c>
      <c r="P384" s="31"/>
      <c r="Q384" s="31"/>
      <c r="R384" s="31"/>
      <c r="S384" s="31">
        <v>1</v>
      </c>
      <c r="T384" s="31"/>
      <c r="U384" s="31"/>
      <c r="V384" s="31"/>
      <c r="W384" s="31">
        <v>50</v>
      </c>
      <c r="X384" s="32">
        <v>220</v>
      </c>
      <c r="Y384" s="31">
        <v>180</v>
      </c>
      <c r="Z384" s="31" t="s">
        <v>889</v>
      </c>
      <c r="AA384" s="31"/>
      <c r="AB384" s="23">
        <f>_xlfn.XLOOKUP(E384,nomen!A:A,nomen!C:C,0)</f>
        <v>427</v>
      </c>
      <c r="AC384" s="31"/>
      <c r="AD384" s="31"/>
      <c r="AE384" s="31"/>
      <c r="AF384" s="27" t="s">
        <v>179</v>
      </c>
      <c r="AG384" s="35">
        <v>0.111</v>
      </c>
      <c r="AH384" s="33"/>
      <c r="AI384" s="21"/>
    </row>
    <row r="385" spans="1:35" x14ac:dyDescent="0.3">
      <c r="A385" s="31">
        <v>374</v>
      </c>
      <c r="B385" s="32">
        <v>4652245476001</v>
      </c>
      <c r="C385" s="31" t="s">
        <v>2275</v>
      </c>
      <c r="D385" s="31" t="s">
        <v>1830</v>
      </c>
      <c r="E385" s="31" t="s">
        <v>1830</v>
      </c>
      <c r="F385" s="31" t="s">
        <v>1944</v>
      </c>
      <c r="G385" s="31"/>
      <c r="H385" s="31" t="s">
        <v>2275</v>
      </c>
      <c r="I385" s="33">
        <v>1777.87</v>
      </c>
      <c r="J385" s="34">
        <v>0.22</v>
      </c>
      <c r="K385" s="32">
        <v>2169</v>
      </c>
      <c r="L385" s="31">
        <v>2169</v>
      </c>
      <c r="M385" s="31" t="s">
        <v>309</v>
      </c>
      <c r="N385" s="32">
        <v>2990</v>
      </c>
      <c r="O385" s="31" t="s">
        <v>309</v>
      </c>
      <c r="P385" s="31"/>
      <c r="Q385" s="31"/>
      <c r="R385" s="31"/>
      <c r="S385" s="31">
        <v>1</v>
      </c>
      <c r="T385" s="31"/>
      <c r="U385" s="31"/>
      <c r="V385" s="31"/>
      <c r="W385" s="31">
        <v>280</v>
      </c>
      <c r="X385" s="32">
        <v>350</v>
      </c>
      <c r="Y385" s="31">
        <v>230</v>
      </c>
      <c r="Z385" s="31" t="s">
        <v>889</v>
      </c>
      <c r="AA385" s="31"/>
      <c r="AB385" s="23">
        <f>_xlfn.XLOOKUP(E385,nomen!A:A,nomen!C:C,0)</f>
        <v>287</v>
      </c>
      <c r="AC385" s="31"/>
      <c r="AD385" s="31"/>
      <c r="AE385" s="31"/>
      <c r="AF385" s="27" t="s">
        <v>179</v>
      </c>
      <c r="AG385" s="35">
        <v>21</v>
      </c>
      <c r="AH385" s="33"/>
      <c r="AI385" s="21"/>
    </row>
    <row r="386" spans="1:35" x14ac:dyDescent="0.3">
      <c r="A386" s="31">
        <v>375</v>
      </c>
      <c r="B386" s="32">
        <v>2047153546199</v>
      </c>
      <c r="C386" s="31" t="s">
        <v>2276</v>
      </c>
      <c r="D386" s="31" t="s">
        <v>1624</v>
      </c>
      <c r="E386" s="31" t="s">
        <v>1624</v>
      </c>
      <c r="F386" s="31" t="s">
        <v>1944</v>
      </c>
      <c r="G386" s="31"/>
      <c r="H386" s="31" t="s">
        <v>2276</v>
      </c>
      <c r="I386" s="33">
        <v>2847.54</v>
      </c>
      <c r="J386" s="34">
        <v>0.22</v>
      </c>
      <c r="K386" s="32">
        <v>3474</v>
      </c>
      <c r="L386" s="31">
        <v>3474</v>
      </c>
      <c r="M386" s="31" t="s">
        <v>309</v>
      </c>
      <c r="N386" s="32">
        <v>4790</v>
      </c>
      <c r="O386" s="31" t="s">
        <v>309</v>
      </c>
      <c r="P386" s="31"/>
      <c r="Q386" s="31"/>
      <c r="R386" s="31"/>
      <c r="S386" s="31">
        <v>1</v>
      </c>
      <c r="T386" s="31"/>
      <c r="U386" s="31"/>
      <c r="V386" s="31"/>
      <c r="W386" s="31">
        <v>280</v>
      </c>
      <c r="X386" s="32">
        <v>350</v>
      </c>
      <c r="Y386" s="31">
        <v>230</v>
      </c>
      <c r="Z386" s="31" t="s">
        <v>889</v>
      </c>
      <c r="AA386" s="31"/>
      <c r="AB386" s="23">
        <f>_xlfn.XLOOKUP(E386,nomen!A:A,nomen!C:C,0)</f>
        <v>185</v>
      </c>
      <c r="AC386" s="31"/>
      <c r="AD386" s="31"/>
      <c r="AE386" s="31"/>
      <c r="AF386" s="27" t="s">
        <v>179</v>
      </c>
      <c r="AG386" s="35">
        <v>21</v>
      </c>
      <c r="AH386" s="33"/>
      <c r="AI386" s="21"/>
    </row>
    <row r="387" spans="1:35" x14ac:dyDescent="0.3">
      <c r="A387" s="31">
        <v>376</v>
      </c>
      <c r="B387" s="32">
        <v>2047212242253</v>
      </c>
      <c r="C387" s="31" t="s">
        <v>2277</v>
      </c>
      <c r="D387" s="31" t="s">
        <v>1684</v>
      </c>
      <c r="E387" s="31" t="s">
        <v>1684</v>
      </c>
      <c r="F387" s="31" t="s">
        <v>1944</v>
      </c>
      <c r="G387" s="31"/>
      <c r="H387" s="31" t="s">
        <v>2277</v>
      </c>
      <c r="I387" s="33">
        <v>2549.1799999999998</v>
      </c>
      <c r="J387" s="34">
        <v>0.22</v>
      </c>
      <c r="K387" s="32">
        <v>3110</v>
      </c>
      <c r="L387" s="31">
        <v>3110</v>
      </c>
      <c r="M387" s="31" t="s">
        <v>309</v>
      </c>
      <c r="N387" s="32">
        <v>4290</v>
      </c>
      <c r="O387" s="31" t="s">
        <v>309</v>
      </c>
      <c r="P387" s="31"/>
      <c r="Q387" s="31"/>
      <c r="R387" s="31"/>
      <c r="S387" s="31">
        <v>1</v>
      </c>
      <c r="T387" s="31"/>
      <c r="U387" s="31"/>
      <c r="V387" s="31"/>
      <c r="W387" s="31">
        <v>280</v>
      </c>
      <c r="X387" s="32">
        <v>350</v>
      </c>
      <c r="Y387" s="31">
        <v>230</v>
      </c>
      <c r="Z387" s="31" t="s">
        <v>889</v>
      </c>
      <c r="AA387" s="31"/>
      <c r="AB387" s="23">
        <f>_xlfn.XLOOKUP(E387,nomen!A:A,nomen!C:C,0)</f>
        <v>93</v>
      </c>
      <c r="AC387" s="31"/>
      <c r="AD387" s="31"/>
      <c r="AE387" s="31"/>
      <c r="AF387" s="27" t="s">
        <v>179</v>
      </c>
      <c r="AG387" s="35">
        <v>21</v>
      </c>
      <c r="AH387" s="33"/>
      <c r="AI387" s="21"/>
    </row>
    <row r="388" spans="1:35" x14ac:dyDescent="0.3">
      <c r="A388" s="31">
        <v>377</v>
      </c>
      <c r="B388" s="32">
        <v>4652245476315</v>
      </c>
      <c r="C388" s="31" t="s">
        <v>2278</v>
      </c>
      <c r="D388" s="31" t="s">
        <v>1629</v>
      </c>
      <c r="E388" s="31" t="s">
        <v>1629</v>
      </c>
      <c r="F388" s="31" t="s">
        <v>1944</v>
      </c>
      <c r="G388" s="31"/>
      <c r="H388" s="31" t="s">
        <v>2278</v>
      </c>
      <c r="I388" s="33">
        <v>2134.4299999999998</v>
      </c>
      <c r="J388" s="34">
        <v>0.22</v>
      </c>
      <c r="K388" s="32">
        <v>2604</v>
      </c>
      <c r="L388" s="31">
        <v>2604</v>
      </c>
      <c r="M388" s="31" t="s">
        <v>309</v>
      </c>
      <c r="N388" s="32">
        <v>3590</v>
      </c>
      <c r="O388" s="31" t="s">
        <v>309</v>
      </c>
      <c r="P388" s="31"/>
      <c r="Q388" s="31"/>
      <c r="R388" s="31"/>
      <c r="S388" s="31">
        <v>1</v>
      </c>
      <c r="T388" s="31"/>
      <c r="U388" s="31"/>
      <c r="V388" s="31"/>
      <c r="W388" s="31">
        <v>280</v>
      </c>
      <c r="X388" s="32">
        <v>350</v>
      </c>
      <c r="Y388" s="31">
        <v>230</v>
      </c>
      <c r="Z388" s="31" t="s">
        <v>889</v>
      </c>
      <c r="AA388" s="31"/>
      <c r="AB388" s="23">
        <f>_xlfn.XLOOKUP(E388,nomen!A:A,nomen!C:C,0)</f>
        <v>292</v>
      </c>
      <c r="AC388" s="31"/>
      <c r="AD388" s="31"/>
      <c r="AE388" s="31"/>
      <c r="AF388" s="27" t="s">
        <v>179</v>
      </c>
      <c r="AG388" s="35">
        <v>21</v>
      </c>
      <c r="AH388" s="33"/>
      <c r="AI388" s="21"/>
    </row>
    <row r="389" spans="1:35" x14ac:dyDescent="0.3">
      <c r="A389" s="31">
        <v>378</v>
      </c>
      <c r="B389" s="32">
        <v>2047227840208</v>
      </c>
      <c r="C389" s="31" t="s">
        <v>2279</v>
      </c>
      <c r="D389" s="31" t="s">
        <v>1732</v>
      </c>
      <c r="E389" s="31" t="s">
        <v>1732</v>
      </c>
      <c r="F389" s="31" t="s">
        <v>1944</v>
      </c>
      <c r="G389" s="31"/>
      <c r="H389" s="31" t="s">
        <v>2279</v>
      </c>
      <c r="I389" s="33">
        <v>1540.16</v>
      </c>
      <c r="J389" s="34">
        <v>0.22</v>
      </c>
      <c r="K389" s="32">
        <v>1879</v>
      </c>
      <c r="L389" s="31">
        <v>1879</v>
      </c>
      <c r="M389" s="31" t="s">
        <v>309</v>
      </c>
      <c r="N389" s="32">
        <v>2590</v>
      </c>
      <c r="O389" s="31" t="s">
        <v>309</v>
      </c>
      <c r="P389" s="31"/>
      <c r="Q389" s="31"/>
      <c r="R389" s="31"/>
      <c r="S389" s="31">
        <v>1</v>
      </c>
      <c r="T389" s="31"/>
      <c r="U389" s="31"/>
      <c r="V389" s="31"/>
      <c r="W389" s="31">
        <v>280</v>
      </c>
      <c r="X389" s="32">
        <v>350</v>
      </c>
      <c r="Y389" s="31">
        <v>230</v>
      </c>
      <c r="Z389" s="31" t="s">
        <v>889</v>
      </c>
      <c r="AA389" s="31"/>
      <c r="AB389" s="23">
        <f>_xlfn.XLOOKUP(E389,nomen!A:A,nomen!C:C,0)</f>
        <v>333</v>
      </c>
      <c r="AC389" s="31"/>
      <c r="AD389" s="31"/>
      <c r="AE389" s="31"/>
      <c r="AF389" s="27" t="s">
        <v>179</v>
      </c>
      <c r="AG389" s="35">
        <v>21</v>
      </c>
      <c r="AH389" s="33"/>
      <c r="AI389" s="21"/>
    </row>
    <row r="390" spans="1:35" x14ac:dyDescent="0.3">
      <c r="A390" s="31">
        <v>379</v>
      </c>
      <c r="B390" s="32">
        <v>2047227875125</v>
      </c>
      <c r="C390" s="31" t="s">
        <v>2280</v>
      </c>
      <c r="D390" s="31" t="s">
        <v>1759</v>
      </c>
      <c r="E390" s="31" t="s">
        <v>1759</v>
      </c>
      <c r="F390" s="31" t="s">
        <v>1944</v>
      </c>
      <c r="G390" s="31"/>
      <c r="H390" s="31" t="s">
        <v>2280</v>
      </c>
      <c r="I390" s="33">
        <v>2372.13</v>
      </c>
      <c r="J390" s="34">
        <v>0.22</v>
      </c>
      <c r="K390" s="32">
        <v>2894</v>
      </c>
      <c r="L390" s="31">
        <v>2894</v>
      </c>
      <c r="M390" s="31" t="s">
        <v>309</v>
      </c>
      <c r="N390" s="32">
        <v>3990</v>
      </c>
      <c r="O390" s="31" t="s">
        <v>309</v>
      </c>
      <c r="P390" s="31"/>
      <c r="Q390" s="31"/>
      <c r="R390" s="31"/>
      <c r="S390" s="31">
        <v>1</v>
      </c>
      <c r="T390" s="31"/>
      <c r="U390" s="31"/>
      <c r="V390" s="31"/>
      <c r="W390" s="31">
        <v>280</v>
      </c>
      <c r="X390" s="32">
        <v>350</v>
      </c>
      <c r="Y390" s="31">
        <v>230</v>
      </c>
      <c r="Z390" s="31" t="s">
        <v>889</v>
      </c>
      <c r="AA390" s="31"/>
      <c r="AB390" s="23">
        <f>_xlfn.XLOOKUP(E390,nomen!A:A,nomen!C:C,0)</f>
        <v>242</v>
      </c>
      <c r="AC390" s="31"/>
      <c r="AD390" s="31"/>
      <c r="AE390" s="31"/>
      <c r="AF390" s="27" t="s">
        <v>179</v>
      </c>
      <c r="AG390" s="35">
        <v>21</v>
      </c>
      <c r="AH390" s="33"/>
      <c r="AI390" s="21"/>
    </row>
    <row r="391" spans="1:35" x14ac:dyDescent="0.3">
      <c r="A391" s="31">
        <v>380</v>
      </c>
      <c r="B391" s="32">
        <v>4673746974292</v>
      </c>
      <c r="C391" s="31" t="s">
        <v>2281</v>
      </c>
      <c r="D391" s="31" t="s">
        <v>2058</v>
      </c>
      <c r="E391" s="31" t="s">
        <v>2058</v>
      </c>
      <c r="F391" s="31" t="s">
        <v>1944</v>
      </c>
      <c r="G391" s="31"/>
      <c r="H391" s="31" t="s">
        <v>2281</v>
      </c>
      <c r="I391" s="33">
        <v>148.36000000000001</v>
      </c>
      <c r="J391" s="34">
        <v>0.22</v>
      </c>
      <c r="K391" s="32">
        <v>181</v>
      </c>
      <c r="L391" s="31">
        <v>181</v>
      </c>
      <c r="M391" s="31" t="s">
        <v>309</v>
      </c>
      <c r="N391" s="32">
        <v>250</v>
      </c>
      <c r="O391" s="31" t="s">
        <v>309</v>
      </c>
      <c r="P391" s="31"/>
      <c r="Q391" s="31"/>
      <c r="R391" s="31"/>
      <c r="S391" s="31">
        <v>1</v>
      </c>
      <c r="T391" s="31"/>
      <c r="U391" s="31"/>
      <c r="V391" s="31"/>
      <c r="W391" s="31">
        <v>80</v>
      </c>
      <c r="X391" s="32">
        <v>230</v>
      </c>
      <c r="Y391" s="31">
        <v>80</v>
      </c>
      <c r="Z391" s="31" t="s">
        <v>889</v>
      </c>
      <c r="AA391" s="31"/>
      <c r="AB391" s="23">
        <f>_xlfn.XLOOKUP(E391,nomen!A:A,nomen!C:C,0)</f>
        <v>535</v>
      </c>
      <c r="AC391" s="31"/>
      <c r="AD391" s="31"/>
      <c r="AE391" s="31"/>
      <c r="AF391" s="27" t="s">
        <v>179</v>
      </c>
      <c r="AG391" s="35">
        <v>0.8</v>
      </c>
      <c r="AH391" s="33"/>
      <c r="AI391" s="21"/>
    </row>
    <row r="392" spans="1:35" x14ac:dyDescent="0.3">
      <c r="A392" s="31">
        <v>381</v>
      </c>
      <c r="B392" s="32">
        <v>4610504430805</v>
      </c>
      <c r="C392" s="31" t="s">
        <v>2282</v>
      </c>
      <c r="D392" s="31" t="s">
        <v>1643</v>
      </c>
      <c r="E392" s="31" t="s">
        <v>1643</v>
      </c>
      <c r="F392" s="31" t="s">
        <v>1944</v>
      </c>
      <c r="G392" s="31"/>
      <c r="H392" s="31" t="s">
        <v>2282</v>
      </c>
      <c r="I392" s="33">
        <v>827.05</v>
      </c>
      <c r="J392" s="34">
        <v>0.22</v>
      </c>
      <c r="K392" s="32">
        <v>1009</v>
      </c>
      <c r="L392" s="31">
        <v>1009</v>
      </c>
      <c r="M392" s="31" t="s">
        <v>309</v>
      </c>
      <c r="N392" s="32">
        <v>1390</v>
      </c>
      <c r="O392" s="31" t="s">
        <v>309</v>
      </c>
      <c r="P392" s="31"/>
      <c r="Q392" s="31"/>
      <c r="R392" s="31"/>
      <c r="S392" s="31">
        <v>1</v>
      </c>
      <c r="T392" s="31"/>
      <c r="U392" s="31"/>
      <c r="V392" s="31"/>
      <c r="W392" s="31">
        <v>190</v>
      </c>
      <c r="X392" s="32">
        <v>250</v>
      </c>
      <c r="Y392" s="31">
        <v>140</v>
      </c>
      <c r="Z392" s="31" t="s">
        <v>889</v>
      </c>
      <c r="AA392" s="31"/>
      <c r="AB392" s="23">
        <f>_xlfn.XLOOKUP(E392,nomen!A:A,nomen!C:C,0)</f>
        <v>78</v>
      </c>
      <c r="AC392" s="31"/>
      <c r="AD392" s="31"/>
      <c r="AE392" s="31"/>
      <c r="AF392" s="27" t="s">
        <v>179</v>
      </c>
      <c r="AG392" s="35">
        <v>5</v>
      </c>
      <c r="AH392" s="33"/>
      <c r="AI392" s="21"/>
    </row>
    <row r="393" spans="1:35" x14ac:dyDescent="0.3">
      <c r="A393" s="31">
        <v>382</v>
      </c>
      <c r="B393" s="32">
        <v>2047234357126</v>
      </c>
      <c r="C393" s="31" t="s">
        <v>2283</v>
      </c>
      <c r="D393" s="31" t="s">
        <v>1640</v>
      </c>
      <c r="E393" s="31" t="s">
        <v>1640</v>
      </c>
      <c r="F393" s="31" t="s">
        <v>1944</v>
      </c>
      <c r="G393" s="31"/>
      <c r="H393" s="31" t="s">
        <v>2283</v>
      </c>
      <c r="I393" s="33">
        <v>2430.33</v>
      </c>
      <c r="J393" s="34">
        <v>0.22</v>
      </c>
      <c r="K393" s="32">
        <v>2965</v>
      </c>
      <c r="L393" s="31">
        <v>2965</v>
      </c>
      <c r="M393" s="31" t="s">
        <v>309</v>
      </c>
      <c r="N393" s="32">
        <v>4090</v>
      </c>
      <c r="O393" s="31" t="s">
        <v>309</v>
      </c>
      <c r="P393" s="31"/>
      <c r="Q393" s="31"/>
      <c r="R393" s="31"/>
      <c r="S393" s="31">
        <v>1</v>
      </c>
      <c r="T393" s="31"/>
      <c r="U393" s="31"/>
      <c r="V393" s="31"/>
      <c r="W393" s="31">
        <v>280</v>
      </c>
      <c r="X393" s="32">
        <v>350</v>
      </c>
      <c r="Y393" s="31">
        <v>230</v>
      </c>
      <c r="Z393" s="31" t="s">
        <v>889</v>
      </c>
      <c r="AA393" s="31"/>
      <c r="AB393" s="23">
        <f>_xlfn.XLOOKUP(E393,nomen!A:A,nomen!C:C,0)</f>
        <v>303</v>
      </c>
      <c r="AC393" s="31"/>
      <c r="AD393" s="31"/>
      <c r="AE393" s="31"/>
      <c r="AF393" s="27" t="s">
        <v>179</v>
      </c>
      <c r="AG393" s="35">
        <v>21</v>
      </c>
      <c r="AH393" s="33"/>
      <c r="AI393" s="21"/>
    </row>
    <row r="394" spans="1:35" x14ac:dyDescent="0.3">
      <c r="A394" s="31">
        <v>383</v>
      </c>
      <c r="B394" s="32">
        <v>2047235245156</v>
      </c>
      <c r="C394" s="31" t="s">
        <v>2284</v>
      </c>
      <c r="D394" s="31" t="s">
        <v>1765</v>
      </c>
      <c r="E394" s="31" t="s">
        <v>1765</v>
      </c>
      <c r="F394" s="31" t="s">
        <v>1944</v>
      </c>
      <c r="G394" s="31"/>
      <c r="H394" s="31" t="s">
        <v>2284</v>
      </c>
      <c r="I394" s="33">
        <v>4625.41</v>
      </c>
      <c r="J394" s="34">
        <v>0.22</v>
      </c>
      <c r="K394" s="32">
        <v>5643</v>
      </c>
      <c r="L394" s="31">
        <v>5643</v>
      </c>
      <c r="M394" s="31" t="s">
        <v>309</v>
      </c>
      <c r="N394" s="32">
        <v>8990</v>
      </c>
      <c r="O394" s="31" t="s">
        <v>309</v>
      </c>
      <c r="P394" s="31"/>
      <c r="Q394" s="31"/>
      <c r="R394" s="31"/>
      <c r="S394" s="31">
        <v>1</v>
      </c>
      <c r="T394" s="31"/>
      <c r="U394" s="31"/>
      <c r="V394" s="31"/>
      <c r="W394" s="31">
        <v>280</v>
      </c>
      <c r="X394" s="32">
        <v>350</v>
      </c>
      <c r="Y394" s="31">
        <v>230</v>
      </c>
      <c r="Z394" s="31" t="s">
        <v>889</v>
      </c>
      <c r="AA394" s="31"/>
      <c r="AB394" s="23">
        <f>_xlfn.XLOOKUP(E394,nomen!A:A,nomen!C:C,0)</f>
        <v>8</v>
      </c>
      <c r="AC394" s="31"/>
      <c r="AD394" s="31"/>
      <c r="AE394" s="31"/>
      <c r="AF394" s="27" t="s">
        <v>179</v>
      </c>
      <c r="AG394" s="35">
        <v>22</v>
      </c>
      <c r="AH394" s="33"/>
      <c r="AI394" s="21"/>
    </row>
    <row r="395" spans="1:35" x14ac:dyDescent="0.3">
      <c r="A395" s="31">
        <v>384</v>
      </c>
      <c r="B395" s="32">
        <v>4673746973356</v>
      </c>
      <c r="C395" s="31" t="s">
        <v>2285</v>
      </c>
      <c r="D395" s="31" t="s">
        <v>1591</v>
      </c>
      <c r="E395" s="31" t="s">
        <v>1591</v>
      </c>
      <c r="F395" s="31" t="s">
        <v>1944</v>
      </c>
      <c r="G395" s="31"/>
      <c r="H395" s="31" t="s">
        <v>2285</v>
      </c>
      <c r="I395" s="33">
        <v>98.36</v>
      </c>
      <c r="J395" s="34">
        <v>0.22</v>
      </c>
      <c r="K395" s="32">
        <v>120</v>
      </c>
      <c r="L395" s="31">
        <v>120</v>
      </c>
      <c r="M395" s="31" t="s">
        <v>309</v>
      </c>
      <c r="N395" s="32">
        <v>190</v>
      </c>
      <c r="O395" s="31" t="s">
        <v>309</v>
      </c>
      <c r="P395" s="31"/>
      <c r="Q395" s="31"/>
      <c r="R395" s="31"/>
      <c r="S395" s="31">
        <v>1</v>
      </c>
      <c r="T395" s="31"/>
      <c r="U395" s="31"/>
      <c r="V395" s="31"/>
      <c r="W395" s="31">
        <v>50</v>
      </c>
      <c r="X395" s="32">
        <v>160</v>
      </c>
      <c r="Y395" s="31">
        <v>50</v>
      </c>
      <c r="Z395" s="31" t="s">
        <v>889</v>
      </c>
      <c r="AA395" s="31"/>
      <c r="AB395" s="23">
        <f>_xlfn.XLOOKUP(E395,nomen!A:A,nomen!C:C,0)</f>
        <v>703</v>
      </c>
      <c r="AC395" s="31"/>
      <c r="AD395" s="31"/>
      <c r="AE395" s="31"/>
      <c r="AF395" s="27" t="s">
        <v>179</v>
      </c>
      <c r="AG395" s="35">
        <v>0.21</v>
      </c>
      <c r="AH395" s="33"/>
      <c r="AI395" s="21"/>
    </row>
    <row r="396" spans="1:35" x14ac:dyDescent="0.3">
      <c r="A396" s="31">
        <v>385</v>
      </c>
      <c r="B396" s="32">
        <v>2047239339813</v>
      </c>
      <c r="C396" s="31" t="s">
        <v>2286</v>
      </c>
      <c r="D396" s="31" t="s">
        <v>2107</v>
      </c>
      <c r="E396" s="31" t="s">
        <v>2107</v>
      </c>
      <c r="F396" s="31" t="s">
        <v>1944</v>
      </c>
      <c r="G396" s="31"/>
      <c r="H396" s="31" t="s">
        <v>2286</v>
      </c>
      <c r="I396" s="33">
        <v>6630.33</v>
      </c>
      <c r="J396" s="34">
        <v>0.22</v>
      </c>
      <c r="K396" s="32">
        <v>8089</v>
      </c>
      <c r="L396" s="31">
        <v>8089</v>
      </c>
      <c r="M396" s="31" t="s">
        <v>309</v>
      </c>
      <c r="N396" s="32">
        <v>12890</v>
      </c>
      <c r="O396" s="31" t="s">
        <v>309</v>
      </c>
      <c r="P396" s="31"/>
      <c r="Q396" s="31"/>
      <c r="R396" s="31"/>
      <c r="S396" s="31">
        <v>1</v>
      </c>
      <c r="T396" s="31"/>
      <c r="U396" s="31"/>
      <c r="V396" s="31"/>
      <c r="W396" s="31">
        <v>280</v>
      </c>
      <c r="X396" s="32">
        <v>350</v>
      </c>
      <c r="Y396" s="31">
        <v>230</v>
      </c>
      <c r="Z396" s="31" t="s">
        <v>889</v>
      </c>
      <c r="AA396" s="31"/>
      <c r="AB396" s="23">
        <f>_xlfn.XLOOKUP(E396,nomen!A:A,nomen!C:C,0)</f>
        <v>75</v>
      </c>
      <c r="AC396" s="31"/>
      <c r="AD396" s="31"/>
      <c r="AE396" s="31"/>
      <c r="AF396" s="27" t="s">
        <v>179</v>
      </c>
      <c r="AG396" s="35">
        <v>21</v>
      </c>
      <c r="AH396" s="33"/>
      <c r="AI396" s="21"/>
    </row>
    <row r="397" spans="1:35" x14ac:dyDescent="0.3">
      <c r="A397" s="31">
        <v>386</v>
      </c>
      <c r="B397" s="32">
        <v>2047255238183</v>
      </c>
      <c r="C397" s="31" t="s">
        <v>2287</v>
      </c>
      <c r="D397" s="31" t="s">
        <v>2075</v>
      </c>
      <c r="E397" s="31" t="s">
        <v>2075</v>
      </c>
      <c r="F397" s="31" t="s">
        <v>1944</v>
      </c>
      <c r="G397" s="31"/>
      <c r="H397" s="31" t="s">
        <v>2287</v>
      </c>
      <c r="I397" s="33">
        <v>7350.82</v>
      </c>
      <c r="J397" s="34">
        <v>0.22</v>
      </c>
      <c r="K397" s="32">
        <v>8968</v>
      </c>
      <c r="L397" s="31">
        <v>8968</v>
      </c>
      <c r="M397" s="31" t="s">
        <v>309</v>
      </c>
      <c r="N397" s="32">
        <v>14290</v>
      </c>
      <c r="O397" s="31" t="s">
        <v>309</v>
      </c>
      <c r="P397" s="31"/>
      <c r="Q397" s="31"/>
      <c r="R397" s="31"/>
      <c r="S397" s="31">
        <v>1</v>
      </c>
      <c r="T397" s="31"/>
      <c r="U397" s="31"/>
      <c r="V397" s="31"/>
      <c r="W397" s="31">
        <v>280</v>
      </c>
      <c r="X397" s="32">
        <v>350</v>
      </c>
      <c r="Y397" s="31">
        <v>230</v>
      </c>
      <c r="Z397" s="31" t="s">
        <v>889</v>
      </c>
      <c r="AA397" s="31"/>
      <c r="AB397" s="23">
        <f>_xlfn.XLOOKUP(E397,nomen!A:A,nomen!C:C,0)</f>
        <v>56</v>
      </c>
      <c r="AC397" s="31"/>
      <c r="AD397" s="31"/>
      <c r="AE397" s="31"/>
      <c r="AF397" s="27" t="s">
        <v>179</v>
      </c>
      <c r="AG397" s="35">
        <v>21</v>
      </c>
      <c r="AH397" s="33"/>
      <c r="AI397" s="21"/>
    </row>
    <row r="398" spans="1:35" x14ac:dyDescent="0.3">
      <c r="A398" s="31">
        <v>387</v>
      </c>
      <c r="B398" s="32">
        <v>2047255551862</v>
      </c>
      <c r="C398" s="31" t="s">
        <v>2288</v>
      </c>
      <c r="D398" s="31" t="s">
        <v>2289</v>
      </c>
      <c r="E398" s="31" t="s">
        <v>2289</v>
      </c>
      <c r="F398" s="31" t="s">
        <v>1944</v>
      </c>
      <c r="G398" s="31"/>
      <c r="H398" s="31" t="s">
        <v>2288</v>
      </c>
      <c r="I398" s="33">
        <v>3750.82</v>
      </c>
      <c r="J398" s="34">
        <v>0.22</v>
      </c>
      <c r="K398" s="32">
        <v>4576</v>
      </c>
      <c r="L398" s="31">
        <v>4576</v>
      </c>
      <c r="M398" s="31" t="s">
        <v>309</v>
      </c>
      <c r="N398" s="32">
        <v>7290</v>
      </c>
      <c r="O398" s="31" t="s">
        <v>309</v>
      </c>
      <c r="P398" s="31"/>
      <c r="Q398" s="31"/>
      <c r="R398" s="31"/>
      <c r="S398" s="31">
        <v>1</v>
      </c>
      <c r="T398" s="31"/>
      <c r="U398" s="31"/>
      <c r="V398" s="31"/>
      <c r="W398" s="31">
        <v>280</v>
      </c>
      <c r="X398" s="32">
        <v>350</v>
      </c>
      <c r="Y398" s="31">
        <v>230</v>
      </c>
      <c r="Z398" s="31" t="s">
        <v>889</v>
      </c>
      <c r="AA398" s="31"/>
      <c r="AB398" s="23">
        <f>_xlfn.XLOOKUP(E398,nomen!A:A,nomen!C:C,0)</f>
        <v>120</v>
      </c>
      <c r="AC398" s="31"/>
      <c r="AD398" s="31"/>
      <c r="AE398" s="31"/>
      <c r="AF398" s="27" t="s">
        <v>179</v>
      </c>
      <c r="AG398" s="35">
        <v>21</v>
      </c>
      <c r="AH398" s="33"/>
      <c r="AI398" s="21"/>
    </row>
    <row r="399" spans="1:35" x14ac:dyDescent="0.3">
      <c r="A399" s="31">
        <v>388</v>
      </c>
      <c r="B399" s="32">
        <v>2047256363396</v>
      </c>
      <c r="C399" s="31" t="s">
        <v>2290</v>
      </c>
      <c r="D399" s="31" t="s">
        <v>1863</v>
      </c>
      <c r="E399" s="31" t="s">
        <v>1863</v>
      </c>
      <c r="F399" s="31" t="s">
        <v>1944</v>
      </c>
      <c r="G399" s="31"/>
      <c r="H399" s="31" t="s">
        <v>2290</v>
      </c>
      <c r="I399" s="33">
        <v>7197.54</v>
      </c>
      <c r="J399" s="34">
        <v>0.22</v>
      </c>
      <c r="K399" s="32">
        <v>8781</v>
      </c>
      <c r="L399" s="31">
        <v>8781</v>
      </c>
      <c r="M399" s="31" t="s">
        <v>309</v>
      </c>
      <c r="N399" s="32">
        <v>13990</v>
      </c>
      <c r="O399" s="31" t="s">
        <v>309</v>
      </c>
      <c r="P399" s="31"/>
      <c r="Q399" s="31"/>
      <c r="R399" s="31"/>
      <c r="S399" s="31">
        <v>1</v>
      </c>
      <c r="T399" s="31"/>
      <c r="U399" s="31"/>
      <c r="V399" s="31"/>
      <c r="W399" s="31">
        <v>280</v>
      </c>
      <c r="X399" s="32">
        <v>350</v>
      </c>
      <c r="Y399" s="31">
        <v>230</v>
      </c>
      <c r="Z399" s="31" t="s">
        <v>889</v>
      </c>
      <c r="AA399" s="31"/>
      <c r="AB399" s="23">
        <f>_xlfn.XLOOKUP(E399,nomen!A:A,nomen!C:C,0)</f>
        <v>60</v>
      </c>
      <c r="AC399" s="31"/>
      <c r="AD399" s="31"/>
      <c r="AE399" s="31"/>
      <c r="AF399" s="27" t="s">
        <v>179</v>
      </c>
      <c r="AG399" s="35">
        <v>21</v>
      </c>
      <c r="AH399" s="33"/>
      <c r="AI399" s="21"/>
    </row>
    <row r="400" spans="1:35" x14ac:dyDescent="0.3">
      <c r="A400" s="31">
        <v>389</v>
      </c>
      <c r="B400" s="32">
        <v>4610504430829</v>
      </c>
      <c r="C400" s="31" t="s">
        <v>2291</v>
      </c>
      <c r="D400" s="31" t="s">
        <v>1581</v>
      </c>
      <c r="E400" s="31" t="s">
        <v>1581</v>
      </c>
      <c r="F400" s="31" t="s">
        <v>1944</v>
      </c>
      <c r="G400" s="31"/>
      <c r="H400" s="31" t="s">
        <v>2291</v>
      </c>
      <c r="I400" s="33">
        <v>252.46</v>
      </c>
      <c r="J400" s="34">
        <v>0.22</v>
      </c>
      <c r="K400" s="32">
        <v>308</v>
      </c>
      <c r="L400" s="31">
        <v>308</v>
      </c>
      <c r="M400" s="31" t="s">
        <v>309</v>
      </c>
      <c r="N400" s="32">
        <v>490</v>
      </c>
      <c r="O400" s="31" t="s">
        <v>309</v>
      </c>
      <c r="P400" s="31"/>
      <c r="Q400" s="31"/>
      <c r="R400" s="31"/>
      <c r="S400" s="31">
        <v>1</v>
      </c>
      <c r="T400" s="31"/>
      <c r="U400" s="31"/>
      <c r="V400" s="31"/>
      <c r="W400" s="31">
        <v>80</v>
      </c>
      <c r="X400" s="32">
        <v>230</v>
      </c>
      <c r="Y400" s="31">
        <v>80</v>
      </c>
      <c r="Z400" s="31" t="s">
        <v>889</v>
      </c>
      <c r="AA400" s="31"/>
      <c r="AB400" s="23">
        <f>_xlfn.XLOOKUP(E400,nomen!A:A,nomen!C:C,0)</f>
        <v>295</v>
      </c>
      <c r="AC400" s="31"/>
      <c r="AD400" s="31"/>
      <c r="AE400" s="31"/>
      <c r="AF400" s="27" t="s">
        <v>179</v>
      </c>
      <c r="AG400" s="35">
        <v>0.8</v>
      </c>
      <c r="AH400" s="33"/>
      <c r="AI400" s="21"/>
    </row>
    <row r="401" spans="1:35" x14ac:dyDescent="0.3">
      <c r="A401" s="31">
        <v>390</v>
      </c>
      <c r="B401" s="32">
        <v>4610504430812</v>
      </c>
      <c r="C401" s="31" t="s">
        <v>2292</v>
      </c>
      <c r="D401" s="31" t="s">
        <v>1654</v>
      </c>
      <c r="E401" s="31" t="s">
        <v>1654</v>
      </c>
      <c r="F401" s="31" t="s">
        <v>1944</v>
      </c>
      <c r="G401" s="31"/>
      <c r="H401" s="31" t="s">
        <v>2292</v>
      </c>
      <c r="I401" s="33">
        <v>1229.51</v>
      </c>
      <c r="J401" s="34">
        <v>0.22</v>
      </c>
      <c r="K401" s="32">
        <v>1500</v>
      </c>
      <c r="L401" s="31">
        <v>1500</v>
      </c>
      <c r="M401" s="31" t="s">
        <v>309</v>
      </c>
      <c r="N401" s="32">
        <v>2390</v>
      </c>
      <c r="O401" s="31" t="s">
        <v>309</v>
      </c>
      <c r="P401" s="31"/>
      <c r="Q401" s="31"/>
      <c r="R401" s="31"/>
      <c r="S401" s="31">
        <v>1</v>
      </c>
      <c r="T401" s="31"/>
      <c r="U401" s="31"/>
      <c r="V401" s="31"/>
      <c r="W401" s="31">
        <v>190</v>
      </c>
      <c r="X401" s="32">
        <v>250</v>
      </c>
      <c r="Y401" s="31">
        <v>140</v>
      </c>
      <c r="Z401" s="31" t="s">
        <v>889</v>
      </c>
      <c r="AA401" s="31"/>
      <c r="AB401" s="23">
        <f>_xlfn.XLOOKUP(E401,nomen!A:A,nomen!C:C,0)</f>
        <v>71</v>
      </c>
      <c r="AC401" s="31"/>
      <c r="AD401" s="31"/>
      <c r="AE401" s="31"/>
      <c r="AF401" s="27" t="s">
        <v>179</v>
      </c>
      <c r="AG401" s="35">
        <v>5</v>
      </c>
      <c r="AH401" s="33"/>
      <c r="AI401" s="21"/>
    </row>
    <row r="402" spans="1:35" x14ac:dyDescent="0.3">
      <c r="A402" s="31">
        <v>391</v>
      </c>
      <c r="B402" s="32">
        <v>4673746971727</v>
      </c>
      <c r="C402" s="31" t="s">
        <v>2293</v>
      </c>
      <c r="D402" s="31" t="s">
        <v>1575</v>
      </c>
      <c r="E402" s="31" t="s">
        <v>1575</v>
      </c>
      <c r="F402" s="31" t="s">
        <v>1944</v>
      </c>
      <c r="G402" s="31"/>
      <c r="H402" s="31" t="s">
        <v>2293</v>
      </c>
      <c r="I402" s="33">
        <v>200.82</v>
      </c>
      <c r="J402" s="34">
        <v>0.22</v>
      </c>
      <c r="K402" s="32">
        <v>245</v>
      </c>
      <c r="L402" s="31">
        <v>245</v>
      </c>
      <c r="M402" s="31" t="s">
        <v>309</v>
      </c>
      <c r="N402" s="32">
        <v>390</v>
      </c>
      <c r="O402" s="31" t="s">
        <v>309</v>
      </c>
      <c r="P402" s="31"/>
      <c r="Q402" s="31"/>
      <c r="R402" s="31"/>
      <c r="S402" s="31">
        <v>1</v>
      </c>
      <c r="T402" s="31"/>
      <c r="U402" s="31"/>
      <c r="V402" s="31"/>
      <c r="W402" s="31">
        <v>80</v>
      </c>
      <c r="X402" s="32">
        <v>230</v>
      </c>
      <c r="Y402" s="31">
        <v>80</v>
      </c>
      <c r="Z402" s="31" t="s">
        <v>889</v>
      </c>
      <c r="AA402" s="31"/>
      <c r="AB402" s="23">
        <f>_xlfn.XLOOKUP(E402,nomen!A:A,nomen!C:C,0)</f>
        <v>302</v>
      </c>
      <c r="AC402" s="31"/>
      <c r="AD402" s="31"/>
      <c r="AE402" s="31"/>
      <c r="AF402" s="27" t="s">
        <v>179</v>
      </c>
      <c r="AG402" s="35">
        <v>0.8</v>
      </c>
      <c r="AH402" s="33"/>
      <c r="AI402" s="21"/>
    </row>
    <row r="403" spans="1:35" x14ac:dyDescent="0.3">
      <c r="A403" s="31">
        <v>392</v>
      </c>
      <c r="B403" s="32">
        <v>2047278925534</v>
      </c>
      <c r="C403" s="31" t="s">
        <v>2294</v>
      </c>
      <c r="D403" s="31" t="s">
        <v>2138</v>
      </c>
      <c r="E403" s="31" t="s">
        <v>2138</v>
      </c>
      <c r="F403" s="31" t="s">
        <v>1944</v>
      </c>
      <c r="G403" s="31"/>
      <c r="H403" s="31" t="s">
        <v>2294</v>
      </c>
      <c r="I403" s="33">
        <v>9511.48</v>
      </c>
      <c r="J403" s="34">
        <v>0.22</v>
      </c>
      <c r="K403" s="32">
        <v>11604</v>
      </c>
      <c r="L403" s="31">
        <v>11604</v>
      </c>
      <c r="M403" s="31" t="s">
        <v>309</v>
      </c>
      <c r="N403" s="32">
        <v>18490</v>
      </c>
      <c r="O403" s="31" t="s">
        <v>309</v>
      </c>
      <c r="P403" s="31"/>
      <c r="Q403" s="31"/>
      <c r="R403" s="31"/>
      <c r="S403" s="31">
        <v>1</v>
      </c>
      <c r="T403" s="31"/>
      <c r="U403" s="31"/>
      <c r="V403" s="31"/>
      <c r="W403" s="31">
        <v>280</v>
      </c>
      <c r="X403" s="32">
        <v>350</v>
      </c>
      <c r="Y403" s="31">
        <v>230</v>
      </c>
      <c r="Z403" s="31" t="s">
        <v>889</v>
      </c>
      <c r="AA403" s="31"/>
      <c r="AB403" s="23">
        <f>_xlfn.XLOOKUP(E403,nomen!A:A,nomen!C:C,0)</f>
        <v>15</v>
      </c>
      <c r="AC403" s="31"/>
      <c r="AD403" s="31"/>
      <c r="AE403" s="31"/>
      <c r="AF403" s="27" t="s">
        <v>179</v>
      </c>
      <c r="AG403" s="35">
        <v>17.100000000000001</v>
      </c>
      <c r="AH403" s="33"/>
      <c r="AI403" s="21"/>
    </row>
    <row r="404" spans="1:35" x14ac:dyDescent="0.3">
      <c r="A404" s="31">
        <v>393</v>
      </c>
      <c r="B404" s="32">
        <v>2047279477476</v>
      </c>
      <c r="C404" s="31" t="s">
        <v>2295</v>
      </c>
      <c r="D404" s="31" t="s">
        <v>1670</v>
      </c>
      <c r="E404" s="31" t="s">
        <v>1670</v>
      </c>
      <c r="F404" s="31" t="s">
        <v>1944</v>
      </c>
      <c r="G404" s="31"/>
      <c r="H404" s="31" t="s">
        <v>2295</v>
      </c>
      <c r="I404" s="33">
        <v>2000.82</v>
      </c>
      <c r="J404" s="34">
        <v>0.22</v>
      </c>
      <c r="K404" s="32">
        <v>2441</v>
      </c>
      <c r="L404" s="31">
        <v>2441</v>
      </c>
      <c r="M404" s="31" t="s">
        <v>309</v>
      </c>
      <c r="N404" s="32">
        <v>3890</v>
      </c>
      <c r="O404" s="31" t="s">
        <v>309</v>
      </c>
      <c r="P404" s="31"/>
      <c r="Q404" s="31"/>
      <c r="R404" s="31"/>
      <c r="S404" s="31">
        <v>1</v>
      </c>
      <c r="T404" s="31"/>
      <c r="U404" s="31"/>
      <c r="V404" s="31"/>
      <c r="W404" s="31">
        <v>280</v>
      </c>
      <c r="X404" s="32">
        <v>350</v>
      </c>
      <c r="Y404" s="31">
        <v>230</v>
      </c>
      <c r="Z404" s="31" t="s">
        <v>889</v>
      </c>
      <c r="AA404" s="31"/>
      <c r="AB404" s="23">
        <f>_xlfn.XLOOKUP(E404,nomen!A:A,nomen!C:C,0)</f>
        <v>40</v>
      </c>
      <c r="AC404" s="31"/>
      <c r="AD404" s="31"/>
      <c r="AE404" s="31"/>
      <c r="AF404" s="27" t="s">
        <v>179</v>
      </c>
      <c r="AG404" s="35">
        <v>21</v>
      </c>
      <c r="AH404" s="33"/>
      <c r="AI404" s="21"/>
    </row>
    <row r="405" spans="1:35" x14ac:dyDescent="0.3">
      <c r="A405" s="31">
        <v>394</v>
      </c>
      <c r="B405" s="32">
        <v>2051388483907</v>
      </c>
      <c r="C405" s="31" t="s">
        <v>2296</v>
      </c>
      <c r="D405" s="31" t="s">
        <v>2133</v>
      </c>
      <c r="E405" s="31" t="s">
        <v>2133</v>
      </c>
      <c r="F405" s="31" t="s">
        <v>1944</v>
      </c>
      <c r="G405" s="31"/>
      <c r="H405" s="31" t="s">
        <v>2296</v>
      </c>
      <c r="I405" s="33">
        <v>3750.82</v>
      </c>
      <c r="J405" s="34">
        <v>0.22</v>
      </c>
      <c r="K405" s="32">
        <v>4576</v>
      </c>
      <c r="L405" s="31">
        <v>4576</v>
      </c>
      <c r="M405" s="31" t="s">
        <v>309</v>
      </c>
      <c r="N405" s="32">
        <v>7290</v>
      </c>
      <c r="O405" s="31" t="s">
        <v>309</v>
      </c>
      <c r="P405" s="31"/>
      <c r="Q405" s="31"/>
      <c r="R405" s="31"/>
      <c r="S405" s="31">
        <v>1</v>
      </c>
      <c r="T405" s="31"/>
      <c r="U405" s="31"/>
      <c r="V405" s="31"/>
      <c r="W405" s="31">
        <v>300</v>
      </c>
      <c r="X405" s="32">
        <v>380</v>
      </c>
      <c r="Y405" s="31">
        <v>250</v>
      </c>
      <c r="Z405" s="31" t="s">
        <v>889</v>
      </c>
      <c r="AA405" s="31"/>
      <c r="AB405" s="23">
        <f>_xlfn.XLOOKUP(E405,nomen!A:A,nomen!C:C,0)</f>
        <v>162</v>
      </c>
      <c r="AC405" s="31"/>
      <c r="AD405" s="31"/>
      <c r="AE405" s="31"/>
      <c r="AF405" s="27" t="s">
        <v>179</v>
      </c>
      <c r="AG405" s="35">
        <v>21</v>
      </c>
      <c r="AH405" s="33"/>
      <c r="AI405" s="21"/>
    </row>
    <row r="406" spans="1:35" x14ac:dyDescent="0.3">
      <c r="A406" s="31">
        <v>395</v>
      </c>
      <c r="B406" s="32">
        <v>2047280737293</v>
      </c>
      <c r="C406" s="31" t="s">
        <v>2297</v>
      </c>
      <c r="D406" s="31" t="s">
        <v>1585</v>
      </c>
      <c r="E406" s="31" t="s">
        <v>1585</v>
      </c>
      <c r="F406" s="31" t="s">
        <v>1944</v>
      </c>
      <c r="G406" s="31"/>
      <c r="H406" s="31" t="s">
        <v>2297</v>
      </c>
      <c r="I406" s="33">
        <v>98.36</v>
      </c>
      <c r="J406" s="34">
        <v>0.22</v>
      </c>
      <c r="K406" s="32">
        <v>120</v>
      </c>
      <c r="L406" s="31">
        <v>120</v>
      </c>
      <c r="M406" s="31" t="s">
        <v>309</v>
      </c>
      <c r="N406" s="32">
        <v>190</v>
      </c>
      <c r="O406" s="31" t="s">
        <v>309</v>
      </c>
      <c r="P406" s="31"/>
      <c r="Q406" s="31"/>
      <c r="R406" s="31"/>
      <c r="S406" s="31">
        <v>1</v>
      </c>
      <c r="T406" s="31"/>
      <c r="U406" s="31"/>
      <c r="V406" s="31"/>
      <c r="W406" s="31">
        <v>50</v>
      </c>
      <c r="X406" s="32">
        <v>160</v>
      </c>
      <c r="Y406" s="31">
        <v>50</v>
      </c>
      <c r="Z406" s="31" t="s">
        <v>889</v>
      </c>
      <c r="AA406" s="31"/>
      <c r="AB406" s="23">
        <f>_xlfn.XLOOKUP(E406,nomen!A:A,nomen!C:C,0)</f>
        <v>845</v>
      </c>
      <c r="AC406" s="31"/>
      <c r="AD406" s="31"/>
      <c r="AE406" s="31"/>
      <c r="AF406" s="27" t="s">
        <v>179</v>
      </c>
      <c r="AG406" s="35">
        <v>0.22</v>
      </c>
      <c r="AH406" s="33"/>
      <c r="AI406" s="21"/>
    </row>
    <row r="407" spans="1:35" x14ac:dyDescent="0.3">
      <c r="A407" s="31">
        <v>396</v>
      </c>
      <c r="B407" s="32">
        <v>4673746973820</v>
      </c>
      <c r="C407" s="31" t="s">
        <v>2298</v>
      </c>
      <c r="D407" s="31" t="s">
        <v>2299</v>
      </c>
      <c r="E407" s="31" t="s">
        <v>2299</v>
      </c>
      <c r="F407" s="31" t="s">
        <v>1944</v>
      </c>
      <c r="G407" s="31"/>
      <c r="H407" s="31" t="s">
        <v>2298</v>
      </c>
      <c r="I407" s="33">
        <v>98.36</v>
      </c>
      <c r="J407" s="34">
        <v>0.22</v>
      </c>
      <c r="K407" s="32">
        <v>120</v>
      </c>
      <c r="L407" s="31">
        <v>120</v>
      </c>
      <c r="M407" s="31" t="s">
        <v>309</v>
      </c>
      <c r="N407" s="32">
        <v>190</v>
      </c>
      <c r="O407" s="31" t="s">
        <v>309</v>
      </c>
      <c r="P407" s="31"/>
      <c r="Q407" s="31"/>
      <c r="R407" s="31"/>
      <c r="S407" s="31">
        <v>1</v>
      </c>
      <c r="T407" s="31"/>
      <c r="U407" s="31"/>
      <c r="V407" s="31"/>
      <c r="W407" s="31">
        <v>50</v>
      </c>
      <c r="X407" s="32">
        <v>160</v>
      </c>
      <c r="Y407" s="31">
        <v>50</v>
      </c>
      <c r="Z407" s="31" t="s">
        <v>889</v>
      </c>
      <c r="AA407" s="31"/>
      <c r="AB407" s="23">
        <f>_xlfn.XLOOKUP(E407,nomen!A:A,nomen!C:C,0)</f>
        <v>348</v>
      </c>
      <c r="AC407" s="31"/>
      <c r="AD407" s="31"/>
      <c r="AE407" s="31"/>
      <c r="AF407" s="27" t="s">
        <v>179</v>
      </c>
      <c r="AG407" s="35">
        <v>0.22</v>
      </c>
      <c r="AH407" s="33"/>
      <c r="AI407" s="21"/>
    </row>
    <row r="408" spans="1:35" x14ac:dyDescent="0.3">
      <c r="A408" s="31">
        <v>397</v>
      </c>
      <c r="B408" s="32">
        <v>2047417327113</v>
      </c>
      <c r="C408" s="31" t="s">
        <v>2300</v>
      </c>
      <c r="D408" s="31" t="s">
        <v>1582</v>
      </c>
      <c r="E408" s="31" t="s">
        <v>1582</v>
      </c>
      <c r="F408" s="31" t="s">
        <v>1944</v>
      </c>
      <c r="G408" s="31"/>
      <c r="H408" s="31" t="s">
        <v>2300</v>
      </c>
      <c r="I408" s="33">
        <v>27.87</v>
      </c>
      <c r="J408" s="34">
        <v>0.22</v>
      </c>
      <c r="K408" s="32">
        <v>34</v>
      </c>
      <c r="L408" s="31">
        <v>34</v>
      </c>
      <c r="M408" s="31" t="s">
        <v>309</v>
      </c>
      <c r="N408" s="32">
        <v>50</v>
      </c>
      <c r="O408" s="31" t="s">
        <v>309</v>
      </c>
      <c r="P408" s="31"/>
      <c r="Q408" s="31"/>
      <c r="R408" s="31"/>
      <c r="S408" s="31">
        <v>1</v>
      </c>
      <c r="T408" s="31"/>
      <c r="U408" s="31"/>
      <c r="V408" s="31"/>
      <c r="W408" s="31">
        <v>50</v>
      </c>
      <c r="X408" s="32">
        <v>200</v>
      </c>
      <c r="Y408" s="31">
        <v>120</v>
      </c>
      <c r="Z408" s="31" t="s">
        <v>889</v>
      </c>
      <c r="AA408" s="31"/>
      <c r="AB408" s="23">
        <f>_xlfn.XLOOKUP(E408,nomen!A:A,nomen!C:C,0)</f>
        <v>503</v>
      </c>
      <c r="AC408" s="31"/>
      <c r="AD408" s="31"/>
      <c r="AE408" s="31"/>
      <c r="AF408" s="27" t="s">
        <v>179</v>
      </c>
      <c r="AG408" s="35">
        <v>0.03</v>
      </c>
      <c r="AH408" s="33"/>
      <c r="AI408" s="21"/>
    </row>
    <row r="409" spans="1:35" x14ac:dyDescent="0.3">
      <c r="A409" s="31">
        <v>398</v>
      </c>
      <c r="B409" s="32">
        <v>2047417553215</v>
      </c>
      <c r="C409" s="31" t="s">
        <v>2301</v>
      </c>
      <c r="D409" s="31" t="s">
        <v>1608</v>
      </c>
      <c r="E409" s="31" t="s">
        <v>1608</v>
      </c>
      <c r="F409" s="31" t="s">
        <v>1944</v>
      </c>
      <c r="G409" s="31"/>
      <c r="H409" s="31" t="s">
        <v>2301</v>
      </c>
      <c r="I409" s="33">
        <v>212.3</v>
      </c>
      <c r="J409" s="34">
        <v>0.22</v>
      </c>
      <c r="K409" s="32">
        <v>259</v>
      </c>
      <c r="L409" s="31">
        <v>259</v>
      </c>
      <c r="M409" s="31" t="s">
        <v>309</v>
      </c>
      <c r="N409" s="32">
        <v>390</v>
      </c>
      <c r="O409" s="31" t="s">
        <v>309</v>
      </c>
      <c r="P409" s="31"/>
      <c r="Q409" s="31"/>
      <c r="R409" s="31"/>
      <c r="S409" s="31">
        <v>1</v>
      </c>
      <c r="T409" s="31"/>
      <c r="U409" s="31"/>
      <c r="V409" s="31"/>
      <c r="W409" s="31">
        <v>90</v>
      </c>
      <c r="X409" s="32">
        <v>170</v>
      </c>
      <c r="Y409" s="31">
        <v>160</v>
      </c>
      <c r="Z409" s="31" t="s">
        <v>889</v>
      </c>
      <c r="AA409" s="31"/>
      <c r="AB409" s="23">
        <f>_xlfn.XLOOKUP(E409,nomen!A:A,nomen!C:C,0)</f>
        <v>377</v>
      </c>
      <c r="AC409" s="31"/>
      <c r="AD409" s="31"/>
      <c r="AE409" s="31"/>
      <c r="AF409" s="27" t="s">
        <v>179</v>
      </c>
      <c r="AG409" s="35">
        <v>0.1</v>
      </c>
      <c r="AH409" s="33"/>
      <c r="AI409" s="21"/>
    </row>
    <row r="410" spans="1:35" x14ac:dyDescent="0.3">
      <c r="A410" s="31">
        <v>399</v>
      </c>
      <c r="B410" s="32">
        <v>2047418682709</v>
      </c>
      <c r="C410" s="31" t="s">
        <v>2302</v>
      </c>
      <c r="D410" s="31" t="s">
        <v>2303</v>
      </c>
      <c r="E410" s="31" t="s">
        <v>2303</v>
      </c>
      <c r="F410" s="31" t="s">
        <v>1944</v>
      </c>
      <c r="G410" s="31"/>
      <c r="H410" s="31" t="s">
        <v>2302</v>
      </c>
      <c r="I410" s="33">
        <v>31.97</v>
      </c>
      <c r="J410" s="34">
        <v>0.22</v>
      </c>
      <c r="K410" s="32">
        <v>39</v>
      </c>
      <c r="L410" s="31">
        <v>39</v>
      </c>
      <c r="M410" s="31" t="s">
        <v>309</v>
      </c>
      <c r="N410" s="32">
        <v>60</v>
      </c>
      <c r="O410" s="31" t="s">
        <v>309</v>
      </c>
      <c r="P410" s="31"/>
      <c r="Q410" s="31"/>
      <c r="R410" s="31"/>
      <c r="S410" s="31">
        <v>1</v>
      </c>
      <c r="T410" s="31"/>
      <c r="U410" s="31"/>
      <c r="V410" s="31"/>
      <c r="W410" s="31">
        <v>50</v>
      </c>
      <c r="X410" s="32">
        <v>180</v>
      </c>
      <c r="Y410" s="31">
        <v>50</v>
      </c>
      <c r="Z410" s="31" t="s">
        <v>889</v>
      </c>
      <c r="AA410" s="31"/>
      <c r="AB410" s="23">
        <f>_xlfn.XLOOKUP(E410,nomen!A:A,nomen!C:C,0)</f>
        <v>92</v>
      </c>
      <c r="AC410" s="31"/>
      <c r="AD410" s="31"/>
      <c r="AE410" s="31"/>
      <c r="AF410" s="27" t="s">
        <v>179</v>
      </c>
      <c r="AG410" s="35">
        <v>0.03</v>
      </c>
      <c r="AH410" s="33"/>
      <c r="AI410" s="21"/>
    </row>
    <row r="411" spans="1:35" x14ac:dyDescent="0.3">
      <c r="A411" s="31">
        <v>400</v>
      </c>
      <c r="B411" s="32">
        <v>2047444033841</v>
      </c>
      <c r="C411" s="31" t="s">
        <v>2304</v>
      </c>
      <c r="D411" s="31" t="s">
        <v>2305</v>
      </c>
      <c r="E411" s="31" t="s">
        <v>2305</v>
      </c>
      <c r="F411" s="31" t="s">
        <v>1944</v>
      </c>
      <c r="G411" s="31"/>
      <c r="H411" s="31" t="s">
        <v>2304</v>
      </c>
      <c r="I411" s="33">
        <v>104.1</v>
      </c>
      <c r="J411" s="34">
        <v>0.22</v>
      </c>
      <c r="K411" s="32">
        <v>127</v>
      </c>
      <c r="L411" s="31">
        <v>127</v>
      </c>
      <c r="M411" s="31" t="s">
        <v>309</v>
      </c>
      <c r="N411" s="32">
        <v>190</v>
      </c>
      <c r="O411" s="31" t="s">
        <v>309</v>
      </c>
      <c r="P411" s="31"/>
      <c r="Q411" s="31"/>
      <c r="R411" s="31"/>
      <c r="S411" s="31">
        <v>1</v>
      </c>
      <c r="T411" s="31"/>
      <c r="U411" s="31"/>
      <c r="V411" s="31"/>
      <c r="W411" s="31">
        <v>150</v>
      </c>
      <c r="X411" s="32">
        <v>180</v>
      </c>
      <c r="Y411" s="31">
        <v>50</v>
      </c>
      <c r="Z411" s="31" t="s">
        <v>889</v>
      </c>
      <c r="AA411" s="31"/>
      <c r="AB411" s="23">
        <f>_xlfn.XLOOKUP(E411,nomen!A:A,nomen!C:C,0)</f>
        <v>2</v>
      </c>
      <c r="AC411" s="31"/>
      <c r="AD411" s="31"/>
      <c r="AE411" s="31"/>
      <c r="AF411" s="27" t="s">
        <v>179</v>
      </c>
      <c r="AG411" s="35">
        <v>0.08</v>
      </c>
      <c r="AH411" s="33"/>
      <c r="AI411" s="21"/>
    </row>
    <row r="412" spans="1:35" x14ac:dyDescent="0.3">
      <c r="A412" s="31">
        <v>401</v>
      </c>
      <c r="B412" s="32">
        <v>4673746974728</v>
      </c>
      <c r="C412" s="31" t="s">
        <v>2306</v>
      </c>
      <c r="D412" s="31" t="s">
        <v>1589</v>
      </c>
      <c r="E412" s="31" t="s">
        <v>1589</v>
      </c>
      <c r="F412" s="31" t="s">
        <v>1944</v>
      </c>
      <c r="G412" s="31"/>
      <c r="H412" s="31" t="s">
        <v>2306</v>
      </c>
      <c r="I412" s="33">
        <v>98.36</v>
      </c>
      <c r="J412" s="34">
        <v>0.22</v>
      </c>
      <c r="K412" s="32">
        <v>120</v>
      </c>
      <c r="L412" s="31">
        <v>120</v>
      </c>
      <c r="M412" s="31" t="s">
        <v>309</v>
      </c>
      <c r="N412" s="32">
        <v>190</v>
      </c>
      <c r="O412" s="31" t="s">
        <v>309</v>
      </c>
      <c r="P412" s="31"/>
      <c r="Q412" s="31"/>
      <c r="R412" s="31"/>
      <c r="S412" s="31">
        <v>1</v>
      </c>
      <c r="T412" s="31"/>
      <c r="U412" s="31"/>
      <c r="V412" s="31"/>
      <c r="W412" s="31">
        <v>50</v>
      </c>
      <c r="X412" s="32">
        <v>160</v>
      </c>
      <c r="Y412" s="31">
        <v>50</v>
      </c>
      <c r="Z412" s="31" t="s">
        <v>889</v>
      </c>
      <c r="AA412" s="31"/>
      <c r="AB412" s="23">
        <f>_xlfn.XLOOKUP(E412,nomen!A:A,nomen!C:C,0)</f>
        <v>589</v>
      </c>
      <c r="AC412" s="31"/>
      <c r="AD412" s="31"/>
      <c r="AE412" s="31"/>
      <c r="AF412" s="27" t="s">
        <v>179</v>
      </c>
      <c r="AG412" s="35">
        <v>0.25</v>
      </c>
      <c r="AH412" s="33"/>
      <c r="AI412" s="21"/>
    </row>
    <row r="413" spans="1:35" x14ac:dyDescent="0.3">
      <c r="A413" s="31">
        <v>402</v>
      </c>
      <c r="B413" s="32">
        <v>2047706297745</v>
      </c>
      <c r="C413" s="31" t="s">
        <v>2307</v>
      </c>
      <c r="D413" s="31" t="s">
        <v>1566</v>
      </c>
      <c r="E413" s="31" t="s">
        <v>1566</v>
      </c>
      <c r="F413" s="31" t="s">
        <v>1944</v>
      </c>
      <c r="G413" s="31"/>
      <c r="H413" s="31" t="s">
        <v>2307</v>
      </c>
      <c r="I413" s="33">
        <v>16.39</v>
      </c>
      <c r="J413" s="34">
        <v>0.22</v>
      </c>
      <c r="K413" s="32">
        <v>20</v>
      </c>
      <c r="L413" s="31">
        <v>20</v>
      </c>
      <c r="M413" s="31" t="s">
        <v>309</v>
      </c>
      <c r="N413" s="32">
        <v>30</v>
      </c>
      <c r="O413" s="31" t="s">
        <v>309</v>
      </c>
      <c r="P413" s="31"/>
      <c r="Q413" s="31"/>
      <c r="R413" s="31"/>
      <c r="S413" s="31">
        <v>1</v>
      </c>
      <c r="T413" s="31"/>
      <c r="U413" s="31"/>
      <c r="V413" s="31"/>
      <c r="W413" s="31">
        <v>100</v>
      </c>
      <c r="X413" s="32">
        <v>130</v>
      </c>
      <c r="Y413" s="31">
        <v>10</v>
      </c>
      <c r="Z413" s="31" t="s">
        <v>889</v>
      </c>
      <c r="AA413" s="31"/>
      <c r="AB413" s="23">
        <f>_xlfn.XLOOKUP(E413,nomen!A:A,nomen!C:C,0)</f>
        <v>111</v>
      </c>
      <c r="AC413" s="31"/>
      <c r="AD413" s="31"/>
      <c r="AE413" s="31"/>
      <c r="AF413" s="27" t="s">
        <v>179</v>
      </c>
      <c r="AG413" s="35">
        <v>0.02</v>
      </c>
      <c r="AH413" s="33"/>
      <c r="AI413" s="21"/>
    </row>
    <row r="414" spans="1:35" x14ac:dyDescent="0.3">
      <c r="A414" s="31">
        <v>403</v>
      </c>
      <c r="B414" s="32">
        <v>4673746974704</v>
      </c>
      <c r="C414" s="31" t="s">
        <v>2308</v>
      </c>
      <c r="D414" s="31" t="s">
        <v>1568</v>
      </c>
      <c r="E414" s="31" t="s">
        <v>1568</v>
      </c>
      <c r="F414" s="31" t="s">
        <v>1944</v>
      </c>
      <c r="G414" s="31"/>
      <c r="H414" s="31" t="s">
        <v>2308</v>
      </c>
      <c r="I414" s="33">
        <v>81.97</v>
      </c>
      <c r="J414" s="34">
        <v>0.22</v>
      </c>
      <c r="K414" s="32">
        <v>100</v>
      </c>
      <c r="L414" s="31">
        <v>100</v>
      </c>
      <c r="M414" s="31" t="s">
        <v>309</v>
      </c>
      <c r="N414" s="32">
        <v>150</v>
      </c>
      <c r="O414" s="31" t="s">
        <v>309</v>
      </c>
      <c r="P414" s="31"/>
      <c r="Q414" s="31"/>
      <c r="R414" s="31"/>
      <c r="S414" s="31">
        <v>1</v>
      </c>
      <c r="T414" s="31"/>
      <c r="U414" s="31"/>
      <c r="V414" s="31"/>
      <c r="W414" s="31">
        <v>230</v>
      </c>
      <c r="X414" s="32">
        <v>250</v>
      </c>
      <c r="Y414" s="31">
        <v>40</v>
      </c>
      <c r="Z414" s="31" t="s">
        <v>889</v>
      </c>
      <c r="AA414" s="31"/>
      <c r="AB414" s="23">
        <f>_xlfn.XLOOKUP(E414,nomen!A:A,nomen!C:C,0)</f>
        <v>2935</v>
      </c>
      <c r="AC414" s="31"/>
      <c r="AD414" s="31"/>
      <c r="AE414" s="31"/>
      <c r="AF414" s="27" t="s">
        <v>179</v>
      </c>
      <c r="AG414" s="35">
        <v>0.1</v>
      </c>
      <c r="AH414" s="33"/>
      <c r="AI414" s="21"/>
    </row>
    <row r="415" spans="1:35" x14ac:dyDescent="0.3">
      <c r="A415" s="31">
        <v>404</v>
      </c>
      <c r="B415" s="32">
        <v>4673746974117</v>
      </c>
      <c r="C415" s="31" t="s">
        <v>2309</v>
      </c>
      <c r="D415" s="31" t="s">
        <v>2310</v>
      </c>
      <c r="E415" s="31" t="s">
        <v>2310</v>
      </c>
      <c r="F415" s="31" t="s">
        <v>1944</v>
      </c>
      <c r="G415" s="31"/>
      <c r="H415" s="31" t="s">
        <v>2309</v>
      </c>
      <c r="I415" s="33">
        <v>1127.05</v>
      </c>
      <c r="J415" s="34">
        <v>0.22</v>
      </c>
      <c r="K415" s="32">
        <v>1375</v>
      </c>
      <c r="L415" s="31">
        <v>1375</v>
      </c>
      <c r="M415" s="31" t="s">
        <v>309</v>
      </c>
      <c r="N415" s="32">
        <v>2190</v>
      </c>
      <c r="O415" s="31" t="s">
        <v>309</v>
      </c>
      <c r="P415" s="31"/>
      <c r="Q415" s="31"/>
      <c r="R415" s="31"/>
      <c r="S415" s="31">
        <v>1</v>
      </c>
      <c r="T415" s="31"/>
      <c r="U415" s="31"/>
      <c r="V415" s="31"/>
      <c r="W415" s="31">
        <v>210</v>
      </c>
      <c r="X415" s="32">
        <v>250</v>
      </c>
      <c r="Y415" s="31">
        <v>120</v>
      </c>
      <c r="Z415" s="31" t="s">
        <v>889</v>
      </c>
      <c r="AA415" s="31"/>
      <c r="AB415" s="23">
        <f>_xlfn.XLOOKUP(E415,nomen!A:A,nomen!C:C,0)</f>
        <v>0</v>
      </c>
      <c r="AC415" s="31"/>
      <c r="AD415" s="31"/>
      <c r="AE415" s="31"/>
      <c r="AF415" s="27" t="s">
        <v>179</v>
      </c>
      <c r="AG415" s="35">
        <v>2</v>
      </c>
      <c r="AH415" s="33"/>
      <c r="AI415" s="21"/>
    </row>
    <row r="416" spans="1:35" x14ac:dyDescent="0.3">
      <c r="A416" s="31">
        <v>405</v>
      </c>
      <c r="B416" s="32">
        <v>4673746975053</v>
      </c>
      <c r="C416" s="31" t="s">
        <v>2311</v>
      </c>
      <c r="D416" s="31" t="s">
        <v>2312</v>
      </c>
      <c r="E416" s="31" t="s">
        <v>2312</v>
      </c>
      <c r="F416" s="31" t="s">
        <v>1944</v>
      </c>
      <c r="G416" s="31"/>
      <c r="H416" s="31" t="s">
        <v>2311</v>
      </c>
      <c r="I416" s="33">
        <v>150</v>
      </c>
      <c r="J416" s="34">
        <v>0.22</v>
      </c>
      <c r="K416" s="32">
        <v>183</v>
      </c>
      <c r="L416" s="31">
        <v>183</v>
      </c>
      <c r="M416" s="31" t="s">
        <v>309</v>
      </c>
      <c r="N416" s="32">
        <v>290</v>
      </c>
      <c r="O416" s="31" t="s">
        <v>309</v>
      </c>
      <c r="P416" s="31"/>
      <c r="Q416" s="31"/>
      <c r="R416" s="31"/>
      <c r="S416" s="31">
        <v>1</v>
      </c>
      <c r="T416" s="31"/>
      <c r="U416" s="31"/>
      <c r="V416" s="31"/>
      <c r="W416" s="31">
        <v>80</v>
      </c>
      <c r="X416" s="32">
        <v>210</v>
      </c>
      <c r="Y416" s="31">
        <v>60</v>
      </c>
      <c r="Z416" s="31" t="s">
        <v>889</v>
      </c>
      <c r="AA416" s="31"/>
      <c r="AB416" s="23">
        <f>_xlfn.XLOOKUP(E416,nomen!A:A,nomen!C:C,0)</f>
        <v>0</v>
      </c>
      <c r="AC416" s="31"/>
      <c r="AD416" s="31"/>
      <c r="AE416" s="31"/>
      <c r="AF416" s="27" t="s">
        <v>179</v>
      </c>
      <c r="AG416" s="35">
        <v>0.3</v>
      </c>
      <c r="AH416" s="33"/>
      <c r="AI416" s="21"/>
    </row>
    <row r="417" spans="1:35" x14ac:dyDescent="0.3">
      <c r="A417" s="31">
        <v>406</v>
      </c>
      <c r="B417" s="32">
        <v>4673746975121</v>
      </c>
      <c r="C417" s="31" t="s">
        <v>2313</v>
      </c>
      <c r="D417" s="31" t="s">
        <v>2314</v>
      </c>
      <c r="E417" s="31" t="s">
        <v>2314</v>
      </c>
      <c r="F417" s="31" t="s">
        <v>1944</v>
      </c>
      <c r="G417" s="31"/>
      <c r="H417" s="31" t="s">
        <v>2313</v>
      </c>
      <c r="I417" s="33">
        <v>200.82</v>
      </c>
      <c r="J417" s="34">
        <v>0.22</v>
      </c>
      <c r="K417" s="32">
        <v>245</v>
      </c>
      <c r="L417" s="31">
        <v>245</v>
      </c>
      <c r="M417" s="31" t="s">
        <v>309</v>
      </c>
      <c r="N417" s="32">
        <v>390</v>
      </c>
      <c r="O417" s="31" t="s">
        <v>309</v>
      </c>
      <c r="P417" s="31"/>
      <c r="Q417" s="31"/>
      <c r="R417" s="31"/>
      <c r="S417" s="31">
        <v>1</v>
      </c>
      <c r="T417" s="31"/>
      <c r="U417" s="31"/>
      <c r="V417" s="31"/>
      <c r="W417" s="31">
        <v>80</v>
      </c>
      <c r="X417" s="32">
        <v>230</v>
      </c>
      <c r="Y417" s="31">
        <v>80</v>
      </c>
      <c r="Z417" s="31" t="s">
        <v>889</v>
      </c>
      <c r="AA417" s="31"/>
      <c r="AB417" s="23">
        <f>_xlfn.XLOOKUP(E417,nomen!A:A,nomen!C:C,0)</f>
        <v>668</v>
      </c>
      <c r="AC417" s="31"/>
      <c r="AD417" s="31"/>
      <c r="AE417" s="31"/>
      <c r="AF417" s="27" t="s">
        <v>179</v>
      </c>
      <c r="AG417" s="35">
        <v>1</v>
      </c>
      <c r="AH417" s="33"/>
      <c r="AI417" s="21"/>
    </row>
    <row r="418" spans="1:35" x14ac:dyDescent="0.3">
      <c r="A418" s="31">
        <v>407</v>
      </c>
      <c r="B418" s="32">
        <v>4673746975138</v>
      </c>
      <c r="C418" s="31" t="s">
        <v>2315</v>
      </c>
      <c r="D418" s="31" t="s">
        <v>1567</v>
      </c>
      <c r="E418" s="31" t="s">
        <v>1567</v>
      </c>
      <c r="F418" s="31" t="s">
        <v>1944</v>
      </c>
      <c r="G418" s="31"/>
      <c r="H418" s="31" t="s">
        <v>2315</v>
      </c>
      <c r="I418" s="33">
        <v>290.98</v>
      </c>
      <c r="J418" s="34">
        <v>0.22</v>
      </c>
      <c r="K418" s="32">
        <v>355</v>
      </c>
      <c r="L418" s="31">
        <v>355</v>
      </c>
      <c r="M418" s="31" t="s">
        <v>309</v>
      </c>
      <c r="N418" s="32">
        <v>490</v>
      </c>
      <c r="O418" s="31" t="s">
        <v>309</v>
      </c>
      <c r="P418" s="31"/>
      <c r="Q418" s="31"/>
      <c r="R418" s="31"/>
      <c r="S418" s="31">
        <v>1</v>
      </c>
      <c r="T418" s="31"/>
      <c r="U418" s="31"/>
      <c r="V418" s="31"/>
      <c r="W418" s="31">
        <v>70</v>
      </c>
      <c r="X418" s="32">
        <v>200</v>
      </c>
      <c r="Y418" s="31">
        <v>70</v>
      </c>
      <c r="Z418" s="31" t="s">
        <v>889</v>
      </c>
      <c r="AA418" s="31"/>
      <c r="AB418" s="23">
        <f>_xlfn.XLOOKUP(E418,nomen!A:A,nomen!C:C,0)</f>
        <v>1261</v>
      </c>
      <c r="AC418" s="31"/>
      <c r="AD418" s="31"/>
      <c r="AE418" s="31"/>
      <c r="AF418" s="27" t="s">
        <v>179</v>
      </c>
      <c r="AG418" s="35">
        <v>0.4</v>
      </c>
      <c r="AH418" s="33"/>
      <c r="AI418" s="21"/>
    </row>
    <row r="419" spans="1:35" x14ac:dyDescent="0.3">
      <c r="A419" s="31">
        <v>408</v>
      </c>
      <c r="B419" s="32">
        <v>4673746971703</v>
      </c>
      <c r="C419" s="31" t="s">
        <v>2316</v>
      </c>
      <c r="D419" s="31" t="s">
        <v>2317</v>
      </c>
      <c r="E419" s="31" t="s">
        <v>2317</v>
      </c>
      <c r="F419" s="31" t="s">
        <v>1944</v>
      </c>
      <c r="G419" s="31"/>
      <c r="H419" s="31" t="s">
        <v>2316</v>
      </c>
      <c r="I419" s="33">
        <v>1024.5899999999999</v>
      </c>
      <c r="J419" s="34">
        <v>0.22</v>
      </c>
      <c r="K419" s="32">
        <v>1250</v>
      </c>
      <c r="L419" s="31">
        <v>1250</v>
      </c>
      <c r="M419" s="31" t="s">
        <v>309</v>
      </c>
      <c r="N419" s="32">
        <v>1990</v>
      </c>
      <c r="O419" s="31" t="s">
        <v>309</v>
      </c>
      <c r="P419" s="31"/>
      <c r="Q419" s="31"/>
      <c r="R419" s="31"/>
      <c r="S419" s="31">
        <v>1</v>
      </c>
      <c r="T419" s="31"/>
      <c r="U419" s="31"/>
      <c r="V419" s="31"/>
      <c r="W419" s="31">
        <v>200</v>
      </c>
      <c r="X419" s="32">
        <v>260</v>
      </c>
      <c r="Y419" s="31">
        <v>150</v>
      </c>
      <c r="Z419" s="31" t="s">
        <v>889</v>
      </c>
      <c r="AA419" s="31"/>
      <c r="AB419" s="23">
        <f>_xlfn.XLOOKUP(E419,nomen!A:A,nomen!C:C,0)</f>
        <v>111</v>
      </c>
      <c r="AC419" s="31"/>
      <c r="AD419" s="31"/>
      <c r="AE419" s="31"/>
      <c r="AF419" s="27" t="s">
        <v>179</v>
      </c>
      <c r="AG419" s="35">
        <v>5.3</v>
      </c>
      <c r="AH419" s="33"/>
      <c r="AI419" s="21"/>
    </row>
    <row r="420" spans="1:35" x14ac:dyDescent="0.3">
      <c r="A420" s="31">
        <v>409</v>
      </c>
      <c r="B420" s="32">
        <v>4673746976210</v>
      </c>
      <c r="C420" s="31" t="s">
        <v>2318</v>
      </c>
      <c r="D420" s="31" t="s">
        <v>2319</v>
      </c>
      <c r="E420" s="31" t="s">
        <v>2319</v>
      </c>
      <c r="F420" s="31" t="s">
        <v>1944</v>
      </c>
      <c r="G420" s="31"/>
      <c r="H420" s="31" t="s">
        <v>2318</v>
      </c>
      <c r="I420" s="33">
        <v>150</v>
      </c>
      <c r="J420" s="34">
        <v>0.22</v>
      </c>
      <c r="K420" s="32">
        <v>183</v>
      </c>
      <c r="L420" s="31">
        <v>183</v>
      </c>
      <c r="M420" s="31" t="s">
        <v>309</v>
      </c>
      <c r="N420" s="32">
        <v>290</v>
      </c>
      <c r="O420" s="31" t="s">
        <v>309</v>
      </c>
      <c r="P420" s="31"/>
      <c r="Q420" s="31"/>
      <c r="R420" s="31"/>
      <c r="S420" s="31">
        <v>1</v>
      </c>
      <c r="T420" s="31"/>
      <c r="U420" s="31"/>
      <c r="V420" s="31"/>
      <c r="W420" s="31">
        <v>70</v>
      </c>
      <c r="X420" s="32">
        <v>230</v>
      </c>
      <c r="Y420" s="31">
        <v>70</v>
      </c>
      <c r="Z420" s="31" t="s">
        <v>889</v>
      </c>
      <c r="AA420" s="31"/>
      <c r="AB420" s="23">
        <f>_xlfn.XLOOKUP(E420,nomen!A:A,nomen!C:C,0)</f>
        <v>425</v>
      </c>
      <c r="AC420" s="31"/>
      <c r="AD420" s="31"/>
      <c r="AE420" s="31"/>
      <c r="AF420" s="27" t="s">
        <v>179</v>
      </c>
      <c r="AG420" s="35">
        <v>0.5</v>
      </c>
      <c r="AH420" s="33"/>
      <c r="AI420" s="21"/>
    </row>
    <row r="421" spans="1:35" x14ac:dyDescent="0.3">
      <c r="A421" s="31">
        <v>410</v>
      </c>
      <c r="B421" s="32">
        <v>2048362285619</v>
      </c>
      <c r="C421" s="31" t="s">
        <v>2320</v>
      </c>
      <c r="D421" s="31" t="s">
        <v>2321</v>
      </c>
      <c r="E421" s="31" t="s">
        <v>2321</v>
      </c>
      <c r="F421" s="31" t="s">
        <v>1944</v>
      </c>
      <c r="G421" s="31"/>
      <c r="H421" s="31" t="s">
        <v>2320</v>
      </c>
      <c r="I421" s="33">
        <v>77.05</v>
      </c>
      <c r="J421" s="34">
        <v>0.22</v>
      </c>
      <c r="K421" s="32">
        <v>94</v>
      </c>
      <c r="L421" s="31">
        <v>94</v>
      </c>
      <c r="M421" s="31" t="s">
        <v>309</v>
      </c>
      <c r="N421" s="32">
        <v>150</v>
      </c>
      <c r="O421" s="31" t="s">
        <v>309</v>
      </c>
      <c r="P421" s="31"/>
      <c r="Q421" s="31"/>
      <c r="R421" s="31"/>
      <c r="S421" s="31">
        <v>1</v>
      </c>
      <c r="T421" s="31"/>
      <c r="U421" s="31"/>
      <c r="V421" s="31"/>
      <c r="W421" s="31">
        <v>80</v>
      </c>
      <c r="X421" s="32">
        <v>210</v>
      </c>
      <c r="Y421" s="31">
        <v>60</v>
      </c>
      <c r="Z421" s="31" t="s">
        <v>889</v>
      </c>
      <c r="AA421" s="31"/>
      <c r="AB421" s="23">
        <f>_xlfn.XLOOKUP(E421,nomen!A:A,nomen!C:C,0)</f>
        <v>739</v>
      </c>
      <c r="AC421" s="31"/>
      <c r="AD421" s="31"/>
      <c r="AE421" s="31"/>
      <c r="AF421" s="27" t="s">
        <v>179</v>
      </c>
      <c r="AG421" s="35">
        <v>0.3</v>
      </c>
      <c r="AH421" s="33"/>
      <c r="AI421" s="21"/>
    </row>
    <row r="422" spans="1:35" x14ac:dyDescent="0.3">
      <c r="A422" s="31">
        <v>411</v>
      </c>
      <c r="B422" s="32">
        <v>2048362379851</v>
      </c>
      <c r="C422" s="31" t="s">
        <v>2322</v>
      </c>
      <c r="D422" s="31" t="s">
        <v>2323</v>
      </c>
      <c r="E422" s="31" t="s">
        <v>2323</v>
      </c>
      <c r="F422" s="31" t="s">
        <v>1944</v>
      </c>
      <c r="G422" s="31"/>
      <c r="H422" s="31" t="s">
        <v>2322</v>
      </c>
      <c r="I422" s="33">
        <v>51.64</v>
      </c>
      <c r="J422" s="34">
        <v>0.22</v>
      </c>
      <c r="K422" s="32">
        <v>63</v>
      </c>
      <c r="L422" s="31">
        <v>63</v>
      </c>
      <c r="M422" s="31" t="s">
        <v>309</v>
      </c>
      <c r="N422" s="32">
        <v>100</v>
      </c>
      <c r="O422" s="31" t="s">
        <v>309</v>
      </c>
      <c r="P422" s="31"/>
      <c r="Q422" s="31"/>
      <c r="R422" s="31"/>
      <c r="S422" s="31">
        <v>1</v>
      </c>
      <c r="T422" s="31"/>
      <c r="U422" s="31"/>
      <c r="V422" s="31"/>
      <c r="W422" s="31">
        <v>50</v>
      </c>
      <c r="X422" s="32">
        <v>180</v>
      </c>
      <c r="Y422" s="31">
        <v>50</v>
      </c>
      <c r="Z422" s="31" t="s">
        <v>889</v>
      </c>
      <c r="AA422" s="31"/>
      <c r="AB422" s="23">
        <f>_xlfn.XLOOKUP(E422,nomen!A:A,nomen!C:C,0)</f>
        <v>0</v>
      </c>
      <c r="AC422" s="31"/>
      <c r="AD422" s="31"/>
      <c r="AE422" s="31"/>
      <c r="AF422" s="27" t="s">
        <v>179</v>
      </c>
      <c r="AG422" s="35">
        <v>0.25</v>
      </c>
      <c r="AH422" s="33"/>
      <c r="AI422" s="21"/>
    </row>
    <row r="423" spans="1:35" x14ac:dyDescent="0.3">
      <c r="A423" s="31">
        <v>412</v>
      </c>
      <c r="B423" s="32">
        <v>2048363030867</v>
      </c>
      <c r="C423" s="31" t="s">
        <v>2324</v>
      </c>
      <c r="D423" s="31" t="s">
        <v>1583</v>
      </c>
      <c r="E423" s="31" t="s">
        <v>1583</v>
      </c>
      <c r="F423" s="31" t="s">
        <v>1944</v>
      </c>
      <c r="G423" s="31"/>
      <c r="H423" s="31" t="s">
        <v>2324</v>
      </c>
      <c r="I423" s="33">
        <v>124.59</v>
      </c>
      <c r="J423" s="34">
        <v>0.22</v>
      </c>
      <c r="K423" s="32">
        <v>152</v>
      </c>
      <c r="L423" s="31">
        <v>152</v>
      </c>
      <c r="M423" s="31" t="s">
        <v>309</v>
      </c>
      <c r="N423" s="32">
        <v>230</v>
      </c>
      <c r="O423" s="31" t="s">
        <v>309</v>
      </c>
      <c r="P423" s="31"/>
      <c r="Q423" s="31"/>
      <c r="R423" s="31"/>
      <c r="S423" s="31">
        <v>1</v>
      </c>
      <c r="T423" s="31"/>
      <c r="U423" s="31"/>
      <c r="V423" s="31"/>
      <c r="W423" s="31">
        <v>40</v>
      </c>
      <c r="X423" s="32">
        <v>310</v>
      </c>
      <c r="Y423" s="31">
        <v>120</v>
      </c>
      <c r="Z423" s="31" t="s">
        <v>889</v>
      </c>
      <c r="AA423" s="31"/>
      <c r="AB423" s="23">
        <f>_xlfn.XLOOKUP(E423,nomen!A:A,nomen!C:C,0)</f>
        <v>555</v>
      </c>
      <c r="AC423" s="31"/>
      <c r="AD423" s="31"/>
      <c r="AE423" s="31"/>
      <c r="AF423" s="27" t="s">
        <v>179</v>
      </c>
      <c r="AG423" s="35">
        <v>0.03</v>
      </c>
      <c r="AH423" s="33"/>
      <c r="AI423" s="21"/>
    </row>
    <row r="424" spans="1:35" x14ac:dyDescent="0.3">
      <c r="A424" s="31">
        <v>413</v>
      </c>
      <c r="B424" s="32">
        <v>2048363088776</v>
      </c>
      <c r="C424" s="31" t="s">
        <v>2325</v>
      </c>
      <c r="D424" s="31" t="s">
        <v>1642</v>
      </c>
      <c r="E424" s="31" t="s">
        <v>1642</v>
      </c>
      <c r="F424" s="31" t="s">
        <v>1944</v>
      </c>
      <c r="G424" s="31"/>
      <c r="H424" s="31" t="s">
        <v>2325</v>
      </c>
      <c r="I424" s="33">
        <v>863.93</v>
      </c>
      <c r="J424" s="34">
        <v>0.22</v>
      </c>
      <c r="K424" s="32">
        <v>1054</v>
      </c>
      <c r="L424" s="31">
        <v>1054</v>
      </c>
      <c r="M424" s="31" t="s">
        <v>309</v>
      </c>
      <c r="N424" s="32">
        <v>1590</v>
      </c>
      <c r="O424" s="31" t="s">
        <v>309</v>
      </c>
      <c r="P424" s="31"/>
      <c r="Q424" s="31"/>
      <c r="R424" s="31"/>
      <c r="S424" s="31">
        <v>1</v>
      </c>
      <c r="T424" s="31"/>
      <c r="U424" s="31"/>
      <c r="V424" s="31"/>
      <c r="W424" s="31">
        <v>120</v>
      </c>
      <c r="X424" s="32">
        <v>170</v>
      </c>
      <c r="Y424" s="31">
        <v>30</v>
      </c>
      <c r="Z424" s="31" t="s">
        <v>889</v>
      </c>
      <c r="AA424" s="31"/>
      <c r="AB424" s="23">
        <f>_xlfn.XLOOKUP(E424,nomen!A:A,nomen!C:C,0)</f>
        <v>48</v>
      </c>
      <c r="AC424" s="31"/>
      <c r="AD424" s="31"/>
      <c r="AE424" s="31"/>
      <c r="AF424" s="27" t="s">
        <v>179</v>
      </c>
      <c r="AG424" s="35">
        <v>1</v>
      </c>
      <c r="AH424" s="33"/>
      <c r="AI424" s="21"/>
    </row>
    <row r="425" spans="1:35" x14ac:dyDescent="0.3">
      <c r="A425" s="31">
        <v>414</v>
      </c>
      <c r="B425" s="32">
        <v>4673746975022</v>
      </c>
      <c r="C425" s="31" t="s">
        <v>2326</v>
      </c>
      <c r="D425" s="31" t="s">
        <v>1576</v>
      </c>
      <c r="E425" s="31" t="s">
        <v>1576</v>
      </c>
      <c r="F425" s="31" t="s">
        <v>1944</v>
      </c>
      <c r="G425" s="31"/>
      <c r="H425" s="31" t="s">
        <v>2326</v>
      </c>
      <c r="I425" s="33">
        <v>128.69</v>
      </c>
      <c r="J425" s="34">
        <v>0.22</v>
      </c>
      <c r="K425" s="32">
        <v>157</v>
      </c>
      <c r="L425" s="31">
        <v>157</v>
      </c>
      <c r="M425" s="31" t="s">
        <v>309</v>
      </c>
      <c r="N425" s="32">
        <v>250</v>
      </c>
      <c r="O425" s="31" t="s">
        <v>309</v>
      </c>
      <c r="P425" s="31"/>
      <c r="Q425" s="31"/>
      <c r="R425" s="31"/>
      <c r="S425" s="31">
        <v>1</v>
      </c>
      <c r="T425" s="31"/>
      <c r="U425" s="31"/>
      <c r="V425" s="31"/>
      <c r="W425" s="31">
        <v>50</v>
      </c>
      <c r="X425" s="32">
        <v>160</v>
      </c>
      <c r="Y425" s="31">
        <v>50</v>
      </c>
      <c r="Z425" s="31" t="s">
        <v>889</v>
      </c>
      <c r="AA425" s="31"/>
      <c r="AB425" s="23">
        <f>_xlfn.XLOOKUP(E425,nomen!A:A,nomen!C:C,0)</f>
        <v>278</v>
      </c>
      <c r="AC425" s="31"/>
      <c r="AD425" s="31"/>
      <c r="AE425" s="31"/>
      <c r="AF425" s="27" t="s">
        <v>179</v>
      </c>
      <c r="AG425" s="35">
        <v>0.25</v>
      </c>
      <c r="AH425" s="33"/>
      <c r="AI425" s="21"/>
    </row>
    <row r="426" spans="1:35" x14ac:dyDescent="0.3">
      <c r="A426" s="31">
        <v>415</v>
      </c>
      <c r="B426" s="32">
        <v>4673746974285</v>
      </c>
      <c r="C426" s="31" t="s">
        <v>2327</v>
      </c>
      <c r="D426" s="31" t="s">
        <v>1603</v>
      </c>
      <c r="E426" s="31" t="s">
        <v>1603</v>
      </c>
      <c r="F426" s="31" t="s">
        <v>1944</v>
      </c>
      <c r="G426" s="31"/>
      <c r="H426" s="31" t="s">
        <v>2327</v>
      </c>
      <c r="I426" s="33">
        <v>128.69</v>
      </c>
      <c r="J426" s="34">
        <v>0.22</v>
      </c>
      <c r="K426" s="32">
        <v>157</v>
      </c>
      <c r="L426" s="31">
        <v>157</v>
      </c>
      <c r="M426" s="31" t="s">
        <v>309</v>
      </c>
      <c r="N426" s="32">
        <v>250</v>
      </c>
      <c r="O426" s="31" t="s">
        <v>309</v>
      </c>
      <c r="P426" s="31"/>
      <c r="Q426" s="31"/>
      <c r="R426" s="31"/>
      <c r="S426" s="31">
        <v>1</v>
      </c>
      <c r="T426" s="31"/>
      <c r="U426" s="31"/>
      <c r="V426" s="31"/>
      <c r="W426" s="31">
        <v>80</v>
      </c>
      <c r="X426" s="32">
        <v>230</v>
      </c>
      <c r="Y426" s="31">
        <v>80</v>
      </c>
      <c r="Z426" s="31" t="s">
        <v>889</v>
      </c>
      <c r="AA426" s="31"/>
      <c r="AB426" s="23">
        <f>_xlfn.XLOOKUP(E426,nomen!A:A,nomen!C:C,0)</f>
        <v>610</v>
      </c>
      <c r="AC426" s="31"/>
      <c r="AD426" s="31"/>
      <c r="AE426" s="31"/>
      <c r="AF426" s="27" t="s">
        <v>179</v>
      </c>
      <c r="AG426" s="35">
        <v>0.9</v>
      </c>
      <c r="AH426" s="33"/>
      <c r="AI426" s="21"/>
    </row>
    <row r="427" spans="1:35" x14ac:dyDescent="0.3">
      <c r="A427" s="31">
        <v>416</v>
      </c>
      <c r="B427" s="32">
        <v>4673746974254</v>
      </c>
      <c r="C427" s="31" t="s">
        <v>2328</v>
      </c>
      <c r="D427" s="31" t="s">
        <v>1570</v>
      </c>
      <c r="E427" s="31" t="s">
        <v>1570</v>
      </c>
      <c r="F427" s="31" t="s">
        <v>1944</v>
      </c>
      <c r="G427" s="31"/>
      <c r="H427" s="31" t="s">
        <v>2328</v>
      </c>
      <c r="I427" s="33">
        <v>128.69</v>
      </c>
      <c r="J427" s="34">
        <v>0.22</v>
      </c>
      <c r="K427" s="32">
        <v>157</v>
      </c>
      <c r="L427" s="31">
        <v>157</v>
      </c>
      <c r="M427" s="31" t="s">
        <v>309</v>
      </c>
      <c r="N427" s="32">
        <v>250</v>
      </c>
      <c r="O427" s="31" t="s">
        <v>309</v>
      </c>
      <c r="P427" s="31"/>
      <c r="Q427" s="31"/>
      <c r="R427" s="31"/>
      <c r="S427" s="31">
        <v>1</v>
      </c>
      <c r="T427" s="31"/>
      <c r="U427" s="31"/>
      <c r="V427" s="31"/>
      <c r="W427" s="31">
        <v>80</v>
      </c>
      <c r="X427" s="32">
        <v>230</v>
      </c>
      <c r="Y427" s="31">
        <v>80</v>
      </c>
      <c r="Z427" s="31" t="s">
        <v>889</v>
      </c>
      <c r="AA427" s="31"/>
      <c r="AB427" s="23">
        <f>_xlfn.XLOOKUP(E427,nomen!A:A,nomen!C:C,0)</f>
        <v>448</v>
      </c>
      <c r="AC427" s="31"/>
      <c r="AD427" s="31"/>
      <c r="AE427" s="31"/>
      <c r="AF427" s="27" t="s">
        <v>179</v>
      </c>
      <c r="AG427" s="35">
        <v>0.9</v>
      </c>
      <c r="AH427" s="33"/>
      <c r="AI427" s="21"/>
    </row>
    <row r="428" spans="1:35" x14ac:dyDescent="0.3">
      <c r="A428" s="31">
        <v>417</v>
      </c>
      <c r="B428" s="32">
        <v>4673746975008</v>
      </c>
      <c r="C428" s="31" t="s">
        <v>2329</v>
      </c>
      <c r="D428" s="31" t="s">
        <v>2080</v>
      </c>
      <c r="E428" s="31" t="s">
        <v>2080</v>
      </c>
      <c r="F428" s="31" t="s">
        <v>1944</v>
      </c>
      <c r="G428" s="31"/>
      <c r="H428" s="31" t="s">
        <v>2329</v>
      </c>
      <c r="I428" s="33">
        <v>158.19999999999999</v>
      </c>
      <c r="J428" s="34">
        <v>0.22</v>
      </c>
      <c r="K428" s="32">
        <v>193</v>
      </c>
      <c r="L428" s="31">
        <v>193</v>
      </c>
      <c r="M428" s="31" t="s">
        <v>309</v>
      </c>
      <c r="N428" s="32">
        <v>290</v>
      </c>
      <c r="O428" s="31" t="s">
        <v>309</v>
      </c>
      <c r="P428" s="31"/>
      <c r="Q428" s="31"/>
      <c r="R428" s="31"/>
      <c r="S428" s="31">
        <v>1</v>
      </c>
      <c r="T428" s="31"/>
      <c r="U428" s="31"/>
      <c r="V428" s="31"/>
      <c r="W428" s="31">
        <v>30</v>
      </c>
      <c r="X428" s="32">
        <v>300</v>
      </c>
      <c r="Y428" s="31">
        <v>200</v>
      </c>
      <c r="Z428" s="31" t="s">
        <v>889</v>
      </c>
      <c r="AA428" s="31"/>
      <c r="AB428" s="23">
        <f>_xlfn.XLOOKUP(E428,nomen!A:A,nomen!C:C,0)</f>
        <v>1823</v>
      </c>
      <c r="AC428" s="31"/>
      <c r="AD428" s="31"/>
      <c r="AE428" s="31"/>
      <c r="AF428" s="27" t="s">
        <v>179</v>
      </c>
      <c r="AG428" s="35">
        <v>6.5000000000000002E-2</v>
      </c>
      <c r="AH428" s="33"/>
      <c r="AI428" s="21"/>
    </row>
    <row r="429" spans="1:35" x14ac:dyDescent="0.3">
      <c r="A429" s="31">
        <v>418</v>
      </c>
      <c r="B429" s="32">
        <v>2048928425589</v>
      </c>
      <c r="C429" s="31" t="s">
        <v>2330</v>
      </c>
      <c r="D429" s="31" t="s">
        <v>1633</v>
      </c>
      <c r="E429" s="31" t="s">
        <v>1633</v>
      </c>
      <c r="F429" s="31" t="s">
        <v>1944</v>
      </c>
      <c r="G429" s="31"/>
      <c r="H429" s="31" t="s">
        <v>2330</v>
      </c>
      <c r="I429" s="33">
        <v>766.39</v>
      </c>
      <c r="J429" s="34">
        <v>0.22</v>
      </c>
      <c r="K429" s="32">
        <v>935</v>
      </c>
      <c r="L429" s="31">
        <v>935</v>
      </c>
      <c r="M429" s="31" t="s">
        <v>309</v>
      </c>
      <c r="N429" s="32">
        <v>1490</v>
      </c>
      <c r="O429" s="31" t="s">
        <v>309</v>
      </c>
      <c r="P429" s="31"/>
      <c r="Q429" s="31"/>
      <c r="R429" s="31"/>
      <c r="S429" s="31">
        <v>1</v>
      </c>
      <c r="T429" s="31"/>
      <c r="U429" s="31"/>
      <c r="V429" s="31"/>
      <c r="W429" s="31">
        <v>190</v>
      </c>
      <c r="X429" s="32">
        <v>250</v>
      </c>
      <c r="Y429" s="31">
        <v>140</v>
      </c>
      <c r="Z429" s="31" t="s">
        <v>889</v>
      </c>
      <c r="AA429" s="31"/>
      <c r="AB429" s="23">
        <f>_xlfn.XLOOKUP(E429,nomen!A:A,nomen!C:C,0)</f>
        <v>80</v>
      </c>
      <c r="AC429" s="31"/>
      <c r="AD429" s="31"/>
      <c r="AE429" s="31"/>
      <c r="AF429" s="27" t="s">
        <v>179</v>
      </c>
      <c r="AG429" s="35">
        <v>5.5</v>
      </c>
      <c r="AH429" s="33"/>
      <c r="AI429" s="21"/>
    </row>
    <row r="430" spans="1:35" x14ac:dyDescent="0.3">
      <c r="A430" s="31">
        <v>419</v>
      </c>
      <c r="B430" s="32">
        <v>2048928781043</v>
      </c>
      <c r="C430" s="31" t="s">
        <v>2331</v>
      </c>
      <c r="D430" s="31" t="s">
        <v>1748</v>
      </c>
      <c r="E430" s="31" t="s">
        <v>1748</v>
      </c>
      <c r="F430" s="31" t="s">
        <v>1944</v>
      </c>
      <c r="G430" s="31"/>
      <c r="H430" s="31" t="s">
        <v>2331</v>
      </c>
      <c r="I430" s="33">
        <v>2824.59</v>
      </c>
      <c r="J430" s="34">
        <v>0.22</v>
      </c>
      <c r="K430" s="32">
        <v>3446</v>
      </c>
      <c r="L430" s="31">
        <v>3446</v>
      </c>
      <c r="M430" s="31" t="s">
        <v>309</v>
      </c>
      <c r="N430" s="32">
        <v>5490</v>
      </c>
      <c r="O430" s="31" t="s">
        <v>309</v>
      </c>
      <c r="P430" s="31"/>
      <c r="Q430" s="31"/>
      <c r="R430" s="31"/>
      <c r="S430" s="31">
        <v>1</v>
      </c>
      <c r="T430" s="31"/>
      <c r="U430" s="31"/>
      <c r="V430" s="31"/>
      <c r="W430" s="31">
        <v>280</v>
      </c>
      <c r="X430" s="32">
        <v>350</v>
      </c>
      <c r="Y430" s="31">
        <v>230</v>
      </c>
      <c r="Z430" s="31" t="s">
        <v>889</v>
      </c>
      <c r="AA430" s="31"/>
      <c r="AB430" s="23">
        <f>_xlfn.XLOOKUP(E430,nomen!A:A,nomen!C:C,0)</f>
        <v>43</v>
      </c>
      <c r="AC430" s="31"/>
      <c r="AD430" s="31"/>
      <c r="AE430" s="31"/>
      <c r="AF430" s="27" t="s">
        <v>179</v>
      </c>
      <c r="AG430" s="35">
        <v>21</v>
      </c>
      <c r="AH430" s="33"/>
      <c r="AI430" s="21"/>
    </row>
    <row r="431" spans="1:35" x14ac:dyDescent="0.3">
      <c r="A431" s="31">
        <v>420</v>
      </c>
      <c r="B431" s="32">
        <v>2048928857014</v>
      </c>
      <c r="C431" s="31" t="s">
        <v>2332</v>
      </c>
      <c r="D431" s="31" t="s">
        <v>1649</v>
      </c>
      <c r="E431" s="31" t="s">
        <v>1649</v>
      </c>
      <c r="F431" s="31" t="s">
        <v>1944</v>
      </c>
      <c r="G431" s="31"/>
      <c r="H431" s="31" t="s">
        <v>2332</v>
      </c>
      <c r="I431" s="33">
        <v>766.39</v>
      </c>
      <c r="J431" s="34">
        <v>0.22</v>
      </c>
      <c r="K431" s="32">
        <v>935</v>
      </c>
      <c r="L431" s="31">
        <v>935</v>
      </c>
      <c r="M431" s="31" t="s">
        <v>309</v>
      </c>
      <c r="N431" s="32">
        <v>1490</v>
      </c>
      <c r="O431" s="31" t="s">
        <v>309</v>
      </c>
      <c r="P431" s="31"/>
      <c r="Q431" s="31"/>
      <c r="R431" s="31"/>
      <c r="S431" s="31">
        <v>1</v>
      </c>
      <c r="T431" s="31"/>
      <c r="U431" s="31"/>
      <c r="V431" s="31"/>
      <c r="W431" s="31">
        <v>190</v>
      </c>
      <c r="X431" s="32">
        <v>250</v>
      </c>
      <c r="Y431" s="31">
        <v>140</v>
      </c>
      <c r="Z431" s="31" t="s">
        <v>889</v>
      </c>
      <c r="AA431" s="31"/>
      <c r="AB431" s="23">
        <f>_xlfn.XLOOKUP(E431,nomen!A:A,nomen!C:C,0)</f>
        <v>51</v>
      </c>
      <c r="AC431" s="31"/>
      <c r="AD431" s="31"/>
      <c r="AE431" s="31"/>
      <c r="AF431" s="27" t="s">
        <v>179</v>
      </c>
      <c r="AG431" s="35">
        <v>5.5</v>
      </c>
      <c r="AH431" s="33"/>
      <c r="AI431" s="21"/>
    </row>
    <row r="432" spans="1:35" x14ac:dyDescent="0.3">
      <c r="A432" s="31">
        <v>421</v>
      </c>
      <c r="B432" s="32">
        <v>2048928889275</v>
      </c>
      <c r="C432" s="31" t="s">
        <v>2333</v>
      </c>
      <c r="D432" s="31" t="s">
        <v>2136</v>
      </c>
      <c r="E432" s="31" t="s">
        <v>2136</v>
      </c>
      <c r="F432" s="31" t="s">
        <v>1944</v>
      </c>
      <c r="G432" s="31"/>
      <c r="H432" s="31" t="s">
        <v>2333</v>
      </c>
      <c r="I432" s="33">
        <v>2824.59</v>
      </c>
      <c r="J432" s="34">
        <v>0.22</v>
      </c>
      <c r="K432" s="32">
        <v>3446</v>
      </c>
      <c r="L432" s="31">
        <v>3446</v>
      </c>
      <c r="M432" s="31" t="s">
        <v>309</v>
      </c>
      <c r="N432" s="32">
        <v>5490</v>
      </c>
      <c r="O432" s="31" t="s">
        <v>309</v>
      </c>
      <c r="P432" s="31"/>
      <c r="Q432" s="31"/>
      <c r="R432" s="31"/>
      <c r="S432" s="31">
        <v>1</v>
      </c>
      <c r="T432" s="31"/>
      <c r="U432" s="31"/>
      <c r="V432" s="31"/>
      <c r="W432" s="31">
        <v>280</v>
      </c>
      <c r="X432" s="32">
        <v>350</v>
      </c>
      <c r="Y432" s="31">
        <v>230</v>
      </c>
      <c r="Z432" s="31" t="s">
        <v>889</v>
      </c>
      <c r="AA432" s="31"/>
      <c r="AB432" s="23">
        <f>_xlfn.XLOOKUP(E432,nomen!A:A,nomen!C:C,0)</f>
        <v>48</v>
      </c>
      <c r="AC432" s="31"/>
      <c r="AD432" s="31"/>
      <c r="AE432" s="31"/>
      <c r="AF432" s="27" t="s">
        <v>179</v>
      </c>
      <c r="AG432" s="35">
        <v>21</v>
      </c>
      <c r="AH432" s="33"/>
      <c r="AI432" s="21"/>
    </row>
    <row r="433" spans="1:35" x14ac:dyDescent="0.3">
      <c r="A433" s="31">
        <v>422</v>
      </c>
      <c r="B433" s="32">
        <v>4673746976265</v>
      </c>
      <c r="C433" s="31" t="s">
        <v>2334</v>
      </c>
      <c r="D433" s="31" t="s">
        <v>2335</v>
      </c>
      <c r="E433" s="31" t="s">
        <v>2335</v>
      </c>
      <c r="F433" s="31" t="s">
        <v>1944</v>
      </c>
      <c r="G433" s="31"/>
      <c r="H433" s="31" t="s">
        <v>2334</v>
      </c>
      <c r="I433" s="33">
        <v>200.82</v>
      </c>
      <c r="J433" s="34">
        <v>0.22</v>
      </c>
      <c r="K433" s="32">
        <v>245</v>
      </c>
      <c r="L433" s="31">
        <v>245</v>
      </c>
      <c r="M433" s="31" t="s">
        <v>309</v>
      </c>
      <c r="N433" s="32">
        <v>390</v>
      </c>
      <c r="O433" s="31" t="s">
        <v>309</v>
      </c>
      <c r="P433" s="31"/>
      <c r="Q433" s="31"/>
      <c r="R433" s="31"/>
      <c r="S433" s="31">
        <v>1</v>
      </c>
      <c r="T433" s="31"/>
      <c r="U433" s="31"/>
      <c r="V433" s="31"/>
      <c r="W433" s="31">
        <v>70</v>
      </c>
      <c r="X433" s="32">
        <v>230</v>
      </c>
      <c r="Y433" s="31">
        <v>70</v>
      </c>
      <c r="Z433" s="31" t="s">
        <v>889</v>
      </c>
      <c r="AA433" s="31"/>
      <c r="AB433" s="23">
        <f>_xlfn.XLOOKUP(E433,nomen!A:A,nomen!C:C,0)</f>
        <v>429</v>
      </c>
      <c r="AC433" s="31"/>
      <c r="AD433" s="31"/>
      <c r="AE433" s="31"/>
      <c r="AF433" s="27" t="s">
        <v>179</v>
      </c>
      <c r="AG433" s="35">
        <v>0.5</v>
      </c>
      <c r="AH433" s="33"/>
      <c r="AI433" s="21"/>
    </row>
    <row r="434" spans="1:35" x14ac:dyDescent="0.3">
      <c r="A434" s="31">
        <v>423</v>
      </c>
      <c r="B434" s="32">
        <v>4673746976159</v>
      </c>
      <c r="C434" s="31" t="s">
        <v>2336</v>
      </c>
      <c r="D434" s="31" t="s">
        <v>1573</v>
      </c>
      <c r="E434" s="31" t="s">
        <v>1573</v>
      </c>
      <c r="F434" s="31" t="s">
        <v>1944</v>
      </c>
      <c r="G434" s="31"/>
      <c r="H434" s="31" t="s">
        <v>2336</v>
      </c>
      <c r="I434" s="33">
        <v>252.46</v>
      </c>
      <c r="J434" s="34">
        <v>0.22</v>
      </c>
      <c r="K434" s="32">
        <v>308</v>
      </c>
      <c r="L434" s="31">
        <v>308</v>
      </c>
      <c r="M434" s="31" t="s">
        <v>309</v>
      </c>
      <c r="N434" s="32">
        <v>490</v>
      </c>
      <c r="O434" s="31" t="s">
        <v>309</v>
      </c>
      <c r="P434" s="31"/>
      <c r="Q434" s="31"/>
      <c r="R434" s="31"/>
      <c r="S434" s="31">
        <v>1</v>
      </c>
      <c r="T434" s="31"/>
      <c r="U434" s="31"/>
      <c r="V434" s="31"/>
      <c r="W434" s="31">
        <v>80</v>
      </c>
      <c r="X434" s="32">
        <v>230</v>
      </c>
      <c r="Y434" s="31">
        <v>80</v>
      </c>
      <c r="Z434" s="31" t="s">
        <v>889</v>
      </c>
      <c r="AA434" s="31"/>
      <c r="AB434" s="23">
        <f>_xlfn.XLOOKUP(E434,nomen!A:A,nomen!C:C,0)</f>
        <v>616</v>
      </c>
      <c r="AC434" s="31"/>
      <c r="AD434" s="31"/>
      <c r="AE434" s="31"/>
      <c r="AF434" s="27" t="s">
        <v>179</v>
      </c>
      <c r="AG434" s="35">
        <v>0.87</v>
      </c>
      <c r="AH434" s="33"/>
      <c r="AI434" s="21"/>
    </row>
    <row r="435" spans="1:35" x14ac:dyDescent="0.3">
      <c r="A435" s="31">
        <v>424</v>
      </c>
      <c r="B435" s="32">
        <v>2049278661764</v>
      </c>
      <c r="C435" s="31" t="s">
        <v>2337</v>
      </c>
      <c r="D435" s="31" t="s">
        <v>2106</v>
      </c>
      <c r="E435" s="31" t="s">
        <v>2106</v>
      </c>
      <c r="F435" s="31" t="s">
        <v>1944</v>
      </c>
      <c r="G435" s="31"/>
      <c r="H435" s="31" t="s">
        <v>2337</v>
      </c>
      <c r="I435" s="33">
        <v>1795.9</v>
      </c>
      <c r="J435" s="34">
        <v>0.22</v>
      </c>
      <c r="K435" s="32">
        <v>2191</v>
      </c>
      <c r="L435" s="31">
        <v>2191</v>
      </c>
      <c r="M435" s="31" t="s">
        <v>309</v>
      </c>
      <c r="N435" s="32">
        <v>3490</v>
      </c>
      <c r="O435" s="31" t="s">
        <v>309</v>
      </c>
      <c r="P435" s="31"/>
      <c r="Q435" s="31"/>
      <c r="R435" s="31"/>
      <c r="S435" s="31">
        <v>1</v>
      </c>
      <c r="T435" s="31"/>
      <c r="U435" s="31"/>
      <c r="V435" s="31"/>
      <c r="W435" s="31">
        <v>280</v>
      </c>
      <c r="X435" s="32">
        <v>350</v>
      </c>
      <c r="Y435" s="31">
        <v>230</v>
      </c>
      <c r="Z435" s="31" t="s">
        <v>889</v>
      </c>
      <c r="AA435" s="31"/>
      <c r="AB435" s="23">
        <f>_xlfn.XLOOKUP(E435,nomen!A:A,nomen!C:C,0)</f>
        <v>23</v>
      </c>
      <c r="AC435" s="31"/>
      <c r="AD435" s="31"/>
      <c r="AE435" s="31"/>
      <c r="AF435" s="27" t="s">
        <v>179</v>
      </c>
      <c r="AG435" s="35">
        <v>21</v>
      </c>
      <c r="AH435" s="33"/>
      <c r="AI435" s="21"/>
    </row>
    <row r="436" spans="1:35" x14ac:dyDescent="0.3">
      <c r="A436" s="31">
        <v>425</v>
      </c>
      <c r="B436" s="32">
        <v>4673746974179</v>
      </c>
      <c r="C436" s="31" t="s">
        <v>2338</v>
      </c>
      <c r="D436" s="31" t="s">
        <v>1584</v>
      </c>
      <c r="E436" s="31" t="s">
        <v>1584</v>
      </c>
      <c r="F436" s="31" t="s">
        <v>1944</v>
      </c>
      <c r="G436" s="31"/>
      <c r="H436" s="31" t="s">
        <v>2338</v>
      </c>
      <c r="I436" s="33">
        <v>266.39</v>
      </c>
      <c r="J436" s="34">
        <v>0.22</v>
      </c>
      <c r="K436" s="32">
        <v>325</v>
      </c>
      <c r="L436" s="31">
        <v>325</v>
      </c>
      <c r="M436" s="31" t="s">
        <v>309</v>
      </c>
      <c r="N436" s="32">
        <v>490</v>
      </c>
      <c r="O436" s="31" t="s">
        <v>309</v>
      </c>
      <c r="P436" s="31"/>
      <c r="Q436" s="31"/>
      <c r="R436" s="31"/>
      <c r="S436" s="31">
        <v>1</v>
      </c>
      <c r="T436" s="31"/>
      <c r="U436" s="31"/>
      <c r="V436" s="31"/>
      <c r="W436" s="31">
        <v>80</v>
      </c>
      <c r="X436" s="32">
        <v>230</v>
      </c>
      <c r="Y436" s="31">
        <v>30</v>
      </c>
      <c r="Z436" s="31" t="s">
        <v>889</v>
      </c>
      <c r="AA436" s="31"/>
      <c r="AB436" s="23">
        <f>_xlfn.XLOOKUP(E436,nomen!A:A,nomen!C:C,0)</f>
        <v>322</v>
      </c>
      <c r="AC436" s="31"/>
      <c r="AD436" s="31"/>
      <c r="AE436" s="31"/>
      <c r="AF436" s="27" t="s">
        <v>179</v>
      </c>
      <c r="AG436" s="35">
        <v>0.12</v>
      </c>
      <c r="AH436" s="33"/>
      <c r="AI436" s="21"/>
    </row>
    <row r="437" spans="1:35" x14ac:dyDescent="0.3">
      <c r="A437" s="31">
        <v>426</v>
      </c>
      <c r="B437" s="32">
        <v>4673746974186</v>
      </c>
      <c r="C437" s="31" t="s">
        <v>2339</v>
      </c>
      <c r="D437" s="31" t="s">
        <v>1986</v>
      </c>
      <c r="E437" s="31" t="s">
        <v>1986</v>
      </c>
      <c r="F437" s="31" t="s">
        <v>1944</v>
      </c>
      <c r="G437" s="31"/>
      <c r="H437" s="31" t="s">
        <v>2339</v>
      </c>
      <c r="I437" s="33">
        <v>537.70000000000005</v>
      </c>
      <c r="J437" s="34">
        <v>0.22</v>
      </c>
      <c r="K437" s="32">
        <v>656</v>
      </c>
      <c r="L437" s="31">
        <v>656</v>
      </c>
      <c r="M437" s="31" t="s">
        <v>309</v>
      </c>
      <c r="N437" s="32">
        <v>990</v>
      </c>
      <c r="O437" s="31" t="s">
        <v>309</v>
      </c>
      <c r="P437" s="31"/>
      <c r="Q437" s="31"/>
      <c r="R437" s="31"/>
      <c r="S437" s="31">
        <v>1</v>
      </c>
      <c r="T437" s="31"/>
      <c r="U437" s="31"/>
      <c r="V437" s="31"/>
      <c r="W437" s="31">
        <v>110</v>
      </c>
      <c r="X437" s="32">
        <v>480</v>
      </c>
      <c r="Y437" s="31">
        <v>30</v>
      </c>
      <c r="Z437" s="31" t="s">
        <v>889</v>
      </c>
      <c r="AA437" s="31"/>
      <c r="AB437" s="23">
        <f>_xlfn.XLOOKUP(E437,nomen!A:A,nomen!C:C,0)</f>
        <v>458</v>
      </c>
      <c r="AC437" s="31"/>
      <c r="AD437" s="31"/>
      <c r="AE437" s="31"/>
      <c r="AF437" s="27" t="s">
        <v>179</v>
      </c>
      <c r="AG437" s="35">
        <v>0.2</v>
      </c>
      <c r="AH437" s="33"/>
      <c r="AI437" s="21"/>
    </row>
    <row r="438" spans="1:35" x14ac:dyDescent="0.3">
      <c r="A438" s="31">
        <v>427</v>
      </c>
      <c r="B438" s="32">
        <v>4673746974193</v>
      </c>
      <c r="C438" s="31" t="s">
        <v>2340</v>
      </c>
      <c r="D438" s="31" t="s">
        <v>1595</v>
      </c>
      <c r="E438" s="31" t="s">
        <v>1595</v>
      </c>
      <c r="F438" s="31" t="s">
        <v>1944</v>
      </c>
      <c r="G438" s="31"/>
      <c r="H438" s="31" t="s">
        <v>2340</v>
      </c>
      <c r="I438" s="33">
        <v>429.51</v>
      </c>
      <c r="J438" s="34">
        <v>0.22</v>
      </c>
      <c r="K438" s="32">
        <v>524</v>
      </c>
      <c r="L438" s="31">
        <v>524</v>
      </c>
      <c r="M438" s="31" t="s">
        <v>309</v>
      </c>
      <c r="N438" s="32">
        <v>790</v>
      </c>
      <c r="O438" s="31" t="s">
        <v>309</v>
      </c>
      <c r="P438" s="31"/>
      <c r="Q438" s="31"/>
      <c r="R438" s="31"/>
      <c r="S438" s="31">
        <v>1</v>
      </c>
      <c r="T438" s="31"/>
      <c r="U438" s="31"/>
      <c r="V438" s="31"/>
      <c r="W438" s="31">
        <v>110</v>
      </c>
      <c r="X438" s="32">
        <v>480</v>
      </c>
      <c r="Y438" s="31">
        <v>40</v>
      </c>
      <c r="Z438" s="31" t="s">
        <v>889</v>
      </c>
      <c r="AA438" s="31"/>
      <c r="AB438" s="23">
        <f>_xlfn.XLOOKUP(E438,nomen!A:A,nomen!C:C,0)</f>
        <v>751</v>
      </c>
      <c r="AC438" s="31"/>
      <c r="AD438" s="31"/>
      <c r="AE438" s="31"/>
      <c r="AF438" s="27" t="s">
        <v>179</v>
      </c>
      <c r="AG438" s="35">
        <v>0.2</v>
      </c>
      <c r="AH438" s="33"/>
      <c r="AI438" s="21"/>
    </row>
    <row r="439" spans="1:35" x14ac:dyDescent="0.3">
      <c r="A439" s="31">
        <v>428</v>
      </c>
      <c r="B439" s="32">
        <v>4673746974216</v>
      </c>
      <c r="C439" s="31" t="s">
        <v>2341</v>
      </c>
      <c r="D439" s="31" t="s">
        <v>2342</v>
      </c>
      <c r="E439" s="31" t="s">
        <v>2342</v>
      </c>
      <c r="F439" s="31" t="s">
        <v>1944</v>
      </c>
      <c r="G439" s="31"/>
      <c r="H439" s="31" t="s">
        <v>2341</v>
      </c>
      <c r="I439" s="33">
        <v>407.38</v>
      </c>
      <c r="J439" s="34">
        <v>0.22</v>
      </c>
      <c r="K439" s="32">
        <v>497</v>
      </c>
      <c r="L439" s="31">
        <v>497</v>
      </c>
      <c r="M439" s="31" t="s">
        <v>309</v>
      </c>
      <c r="N439" s="32">
        <v>750</v>
      </c>
      <c r="O439" s="31" t="s">
        <v>309</v>
      </c>
      <c r="P439" s="31"/>
      <c r="Q439" s="31"/>
      <c r="R439" s="31"/>
      <c r="S439" s="31">
        <v>1</v>
      </c>
      <c r="T439" s="31"/>
      <c r="U439" s="31"/>
      <c r="V439" s="31"/>
      <c r="W439" s="31">
        <v>120</v>
      </c>
      <c r="X439" s="32">
        <v>240</v>
      </c>
      <c r="Y439" s="31">
        <v>30</v>
      </c>
      <c r="Z439" s="31" t="s">
        <v>889</v>
      </c>
      <c r="AA439" s="31"/>
      <c r="AB439" s="23">
        <f>_xlfn.XLOOKUP(E439,nomen!A:A,nomen!C:C,0)</f>
        <v>473</v>
      </c>
      <c r="AC439" s="31"/>
      <c r="AD439" s="31"/>
      <c r="AE439" s="31"/>
      <c r="AF439" s="27" t="s">
        <v>179</v>
      </c>
      <c r="AG439" s="35">
        <v>0.2</v>
      </c>
      <c r="AH439" s="33"/>
      <c r="AI439" s="21"/>
    </row>
    <row r="440" spans="1:35" x14ac:dyDescent="0.3">
      <c r="A440" s="31">
        <v>429</v>
      </c>
      <c r="B440" s="32">
        <v>4673746974209</v>
      </c>
      <c r="C440" s="31" t="s">
        <v>2343</v>
      </c>
      <c r="D440" s="31" t="s">
        <v>2344</v>
      </c>
      <c r="E440" s="31" t="s">
        <v>2344</v>
      </c>
      <c r="F440" s="31" t="s">
        <v>1944</v>
      </c>
      <c r="G440" s="31"/>
      <c r="H440" s="31" t="s">
        <v>2343</v>
      </c>
      <c r="I440" s="33">
        <v>320.49</v>
      </c>
      <c r="J440" s="34">
        <v>0.22</v>
      </c>
      <c r="K440" s="32">
        <v>391</v>
      </c>
      <c r="L440" s="31">
        <v>391</v>
      </c>
      <c r="M440" s="31" t="s">
        <v>309</v>
      </c>
      <c r="N440" s="32">
        <v>590</v>
      </c>
      <c r="O440" s="31" t="s">
        <v>309</v>
      </c>
      <c r="P440" s="31"/>
      <c r="Q440" s="31"/>
      <c r="R440" s="31"/>
      <c r="S440" s="31">
        <v>1</v>
      </c>
      <c r="T440" s="31"/>
      <c r="U440" s="31"/>
      <c r="V440" s="31"/>
      <c r="W440" s="31">
        <v>150</v>
      </c>
      <c r="X440" s="32">
        <v>540</v>
      </c>
      <c r="Y440" s="31">
        <v>30</v>
      </c>
      <c r="Z440" s="31" t="s">
        <v>889</v>
      </c>
      <c r="AA440" s="31"/>
      <c r="AB440" s="23">
        <f>_xlfn.XLOOKUP(E440,nomen!A:A,nomen!C:C,0)</f>
        <v>91</v>
      </c>
      <c r="AC440" s="31"/>
      <c r="AD440" s="31"/>
      <c r="AE440" s="31"/>
      <c r="AF440" s="27" t="s">
        <v>179</v>
      </c>
      <c r="AG440" s="35">
        <v>0.2</v>
      </c>
      <c r="AH440" s="33"/>
      <c r="AI440" s="21"/>
    </row>
    <row r="441" spans="1:35" x14ac:dyDescent="0.3">
      <c r="A441" s="31">
        <v>430</v>
      </c>
      <c r="B441" s="32">
        <v>4673746974223</v>
      </c>
      <c r="C441" s="31" t="s">
        <v>2345</v>
      </c>
      <c r="D441" s="31" t="s">
        <v>2346</v>
      </c>
      <c r="E441" s="31" t="s">
        <v>2346</v>
      </c>
      <c r="F441" s="31" t="s">
        <v>1944</v>
      </c>
      <c r="G441" s="31"/>
      <c r="H441" s="31" t="s">
        <v>2345</v>
      </c>
      <c r="I441" s="33">
        <v>190.16</v>
      </c>
      <c r="J441" s="34">
        <v>0.22</v>
      </c>
      <c r="K441" s="32">
        <v>232</v>
      </c>
      <c r="L441" s="31">
        <v>232</v>
      </c>
      <c r="M441" s="31" t="s">
        <v>309</v>
      </c>
      <c r="N441" s="32">
        <v>350</v>
      </c>
      <c r="O441" s="31" t="s">
        <v>309</v>
      </c>
      <c r="P441" s="31"/>
      <c r="Q441" s="31"/>
      <c r="R441" s="31"/>
      <c r="S441" s="31">
        <v>1</v>
      </c>
      <c r="T441" s="31"/>
      <c r="U441" s="31"/>
      <c r="V441" s="31"/>
      <c r="W441" s="31">
        <v>70</v>
      </c>
      <c r="X441" s="32">
        <v>190</v>
      </c>
      <c r="Y441" s="31">
        <v>40</v>
      </c>
      <c r="Z441" s="31" t="s">
        <v>889</v>
      </c>
      <c r="AA441" s="31"/>
      <c r="AB441" s="23">
        <f>_xlfn.XLOOKUP(E441,nomen!A:A,nomen!C:C,0)</f>
        <v>289</v>
      </c>
      <c r="AC441" s="31"/>
      <c r="AD441" s="31"/>
      <c r="AE441" s="31"/>
      <c r="AF441" s="27" t="s">
        <v>179</v>
      </c>
      <c r="AG441" s="35">
        <v>0.1</v>
      </c>
      <c r="AH441" s="33"/>
      <c r="AI441" s="21"/>
    </row>
    <row r="442" spans="1:35" x14ac:dyDescent="0.3">
      <c r="A442" s="31">
        <v>431</v>
      </c>
      <c r="B442" s="32">
        <v>4673746973837</v>
      </c>
      <c r="C442" s="31" t="s">
        <v>2347</v>
      </c>
      <c r="D442" s="31" t="s">
        <v>1618</v>
      </c>
      <c r="E442" s="31" t="s">
        <v>1618</v>
      </c>
      <c r="F442" s="31" t="s">
        <v>1944</v>
      </c>
      <c r="G442" s="31"/>
      <c r="H442" s="31" t="s">
        <v>2347</v>
      </c>
      <c r="I442" s="33">
        <v>266.39</v>
      </c>
      <c r="J442" s="34">
        <v>0.22</v>
      </c>
      <c r="K442" s="32">
        <v>325</v>
      </c>
      <c r="L442" s="31">
        <v>325</v>
      </c>
      <c r="M442" s="31" t="s">
        <v>309</v>
      </c>
      <c r="N442" s="32">
        <v>490</v>
      </c>
      <c r="O442" s="31" t="s">
        <v>309</v>
      </c>
      <c r="P442" s="31"/>
      <c r="Q442" s="31"/>
      <c r="R442" s="31"/>
      <c r="S442" s="31">
        <v>1</v>
      </c>
      <c r="T442" s="31"/>
      <c r="U442" s="31"/>
      <c r="V442" s="31"/>
      <c r="W442" s="31">
        <v>60</v>
      </c>
      <c r="X442" s="32">
        <v>70</v>
      </c>
      <c r="Y442" s="31">
        <v>60</v>
      </c>
      <c r="Z442" s="31" t="s">
        <v>889</v>
      </c>
      <c r="AA442" s="31"/>
      <c r="AB442" s="23">
        <f>_xlfn.XLOOKUP(E442,nomen!A:A,nomen!C:C,0)</f>
        <v>1281</v>
      </c>
      <c r="AC442" s="31"/>
      <c r="AD442" s="31"/>
      <c r="AE442" s="31"/>
      <c r="AF442" s="27" t="s">
        <v>179</v>
      </c>
      <c r="AG442" s="35">
        <v>0.1</v>
      </c>
      <c r="AH442" s="33"/>
      <c r="AI442" s="21"/>
    </row>
    <row r="443" spans="1:35" x14ac:dyDescent="0.3">
      <c r="A443" s="31">
        <v>432</v>
      </c>
      <c r="B443" s="32">
        <v>4673746974797</v>
      </c>
      <c r="C443" s="31" t="s">
        <v>2348</v>
      </c>
      <c r="D443" s="31" t="s">
        <v>2349</v>
      </c>
      <c r="E443" s="31" t="s">
        <v>2349</v>
      </c>
      <c r="F443" s="31" t="s">
        <v>1944</v>
      </c>
      <c r="G443" s="31"/>
      <c r="H443" s="31" t="s">
        <v>2348</v>
      </c>
      <c r="I443" s="33">
        <v>972.13</v>
      </c>
      <c r="J443" s="34">
        <v>0.22</v>
      </c>
      <c r="K443" s="32">
        <v>1186</v>
      </c>
      <c r="L443" s="31">
        <v>1186</v>
      </c>
      <c r="M443" s="31" t="s">
        <v>309</v>
      </c>
      <c r="N443" s="32">
        <v>1790</v>
      </c>
      <c r="O443" s="31" t="s">
        <v>309</v>
      </c>
      <c r="P443" s="31"/>
      <c r="Q443" s="31"/>
      <c r="R443" s="31"/>
      <c r="S443" s="31">
        <v>1</v>
      </c>
      <c r="T443" s="31"/>
      <c r="U443" s="31"/>
      <c r="V443" s="31"/>
      <c r="W443" s="31">
        <v>230</v>
      </c>
      <c r="X443" s="32">
        <v>350</v>
      </c>
      <c r="Y443" s="31">
        <v>160</v>
      </c>
      <c r="Z443" s="31" t="s">
        <v>889</v>
      </c>
      <c r="AA443" s="31"/>
      <c r="AB443" s="23">
        <f>_xlfn.XLOOKUP(E443,nomen!A:A,nomen!C:C,0)</f>
        <v>0</v>
      </c>
      <c r="AC443" s="31"/>
      <c r="AD443" s="31"/>
      <c r="AE443" s="31"/>
      <c r="AF443" s="27" t="s">
        <v>179</v>
      </c>
      <c r="AG443" s="35">
        <v>1</v>
      </c>
      <c r="AH443" s="33"/>
      <c r="AI443" s="21"/>
    </row>
    <row r="444" spans="1:35" x14ac:dyDescent="0.3">
      <c r="A444" s="31">
        <v>433</v>
      </c>
      <c r="B444" s="32">
        <v>4673746974780</v>
      </c>
      <c r="C444" s="31" t="s">
        <v>2350</v>
      </c>
      <c r="D444" s="31" t="s">
        <v>2351</v>
      </c>
      <c r="E444" s="31" t="s">
        <v>2351</v>
      </c>
      <c r="F444" s="31" t="s">
        <v>1944</v>
      </c>
      <c r="G444" s="31"/>
      <c r="H444" s="31" t="s">
        <v>2350</v>
      </c>
      <c r="I444" s="33">
        <v>1080.33</v>
      </c>
      <c r="J444" s="34">
        <v>0.22</v>
      </c>
      <c r="K444" s="32">
        <v>1318</v>
      </c>
      <c r="L444" s="31">
        <v>1318</v>
      </c>
      <c r="M444" s="31" t="s">
        <v>309</v>
      </c>
      <c r="N444" s="32">
        <v>1990</v>
      </c>
      <c r="O444" s="31" t="s">
        <v>309</v>
      </c>
      <c r="P444" s="31"/>
      <c r="Q444" s="31"/>
      <c r="R444" s="31"/>
      <c r="S444" s="31">
        <v>1</v>
      </c>
      <c r="T444" s="31"/>
      <c r="U444" s="31"/>
      <c r="V444" s="31"/>
      <c r="W444" s="31">
        <v>230</v>
      </c>
      <c r="X444" s="32">
        <v>350</v>
      </c>
      <c r="Y444" s="31">
        <v>160</v>
      </c>
      <c r="Z444" s="31" t="s">
        <v>889</v>
      </c>
      <c r="AA444" s="31"/>
      <c r="AB444" s="23">
        <f>_xlfn.XLOOKUP(E444,nomen!A:A,nomen!C:C,0)</f>
        <v>0</v>
      </c>
      <c r="AC444" s="31"/>
      <c r="AD444" s="31"/>
      <c r="AE444" s="31"/>
      <c r="AF444" s="27" t="s">
        <v>179</v>
      </c>
      <c r="AG444" s="35">
        <v>1</v>
      </c>
      <c r="AH444" s="33"/>
      <c r="AI444" s="21"/>
    </row>
    <row r="445" spans="1:35" x14ac:dyDescent="0.3">
      <c r="A445" s="31">
        <v>434</v>
      </c>
      <c r="B445" s="32">
        <v>4673746974773</v>
      </c>
      <c r="C445" s="31" t="s">
        <v>2352</v>
      </c>
      <c r="D445" s="31" t="s">
        <v>2353</v>
      </c>
      <c r="E445" s="31" t="s">
        <v>2353</v>
      </c>
      <c r="F445" s="31" t="s">
        <v>1944</v>
      </c>
      <c r="G445" s="31"/>
      <c r="H445" s="31" t="s">
        <v>2352</v>
      </c>
      <c r="I445" s="33">
        <v>1188.52</v>
      </c>
      <c r="J445" s="34">
        <v>0.22</v>
      </c>
      <c r="K445" s="32">
        <v>1450</v>
      </c>
      <c r="L445" s="31">
        <v>1450</v>
      </c>
      <c r="M445" s="31" t="s">
        <v>309</v>
      </c>
      <c r="N445" s="32">
        <v>2190</v>
      </c>
      <c r="O445" s="31" t="s">
        <v>309</v>
      </c>
      <c r="P445" s="31"/>
      <c r="Q445" s="31"/>
      <c r="R445" s="31"/>
      <c r="S445" s="31">
        <v>1</v>
      </c>
      <c r="T445" s="31"/>
      <c r="U445" s="31"/>
      <c r="V445" s="31"/>
      <c r="W445" s="31">
        <v>230</v>
      </c>
      <c r="X445" s="32">
        <v>350</v>
      </c>
      <c r="Y445" s="31">
        <v>160</v>
      </c>
      <c r="Z445" s="31" t="s">
        <v>889</v>
      </c>
      <c r="AA445" s="31"/>
      <c r="AB445" s="23">
        <f>_xlfn.XLOOKUP(E445,nomen!A:A,nomen!C:C,0)</f>
        <v>0</v>
      </c>
      <c r="AC445" s="31"/>
      <c r="AD445" s="31"/>
      <c r="AE445" s="31"/>
      <c r="AF445" s="27" t="s">
        <v>179</v>
      </c>
      <c r="AG445" s="35">
        <v>1</v>
      </c>
      <c r="AH445" s="33"/>
      <c r="AI445" s="21"/>
    </row>
    <row r="446" spans="1:35" x14ac:dyDescent="0.3">
      <c r="A446" s="31">
        <v>435</v>
      </c>
      <c r="B446" s="32">
        <v>4673746976098</v>
      </c>
      <c r="C446" s="31" t="s">
        <v>2354</v>
      </c>
      <c r="D446" s="31" t="s">
        <v>2127</v>
      </c>
      <c r="E446" s="31" t="s">
        <v>2127</v>
      </c>
      <c r="F446" s="31" t="s">
        <v>1944</v>
      </c>
      <c r="G446" s="31"/>
      <c r="H446" s="31" t="s">
        <v>2354</v>
      </c>
      <c r="I446" s="33">
        <v>200.82</v>
      </c>
      <c r="J446" s="34">
        <v>0.22</v>
      </c>
      <c r="K446" s="32">
        <v>245</v>
      </c>
      <c r="L446" s="31">
        <v>245</v>
      </c>
      <c r="M446" s="31" t="s">
        <v>309</v>
      </c>
      <c r="N446" s="32">
        <v>390</v>
      </c>
      <c r="O446" s="31" t="s">
        <v>309</v>
      </c>
      <c r="P446" s="31"/>
      <c r="Q446" s="31"/>
      <c r="R446" s="31"/>
      <c r="S446" s="31">
        <v>1</v>
      </c>
      <c r="T446" s="31"/>
      <c r="U446" s="31"/>
      <c r="V446" s="31"/>
      <c r="W446" s="31">
        <v>80</v>
      </c>
      <c r="X446" s="32">
        <v>230</v>
      </c>
      <c r="Y446" s="31">
        <v>80</v>
      </c>
      <c r="Z446" s="31" t="s">
        <v>889</v>
      </c>
      <c r="AA446" s="31"/>
      <c r="AB446" s="23">
        <f>_xlfn.XLOOKUP(E446,nomen!A:A,nomen!C:C,0)</f>
        <v>0</v>
      </c>
      <c r="AC446" s="31"/>
      <c r="AD446" s="31"/>
      <c r="AE446" s="31"/>
      <c r="AF446" s="27" t="s">
        <v>179</v>
      </c>
      <c r="AG446" s="35">
        <v>0.25</v>
      </c>
      <c r="AH446" s="33"/>
      <c r="AI446" s="21"/>
    </row>
    <row r="447" spans="1:35" x14ac:dyDescent="0.3">
      <c r="A447" s="31">
        <v>436</v>
      </c>
      <c r="B447" s="32">
        <v>4652245476650</v>
      </c>
      <c r="C447" s="31" t="s">
        <v>2355</v>
      </c>
      <c r="D447" s="31" t="s">
        <v>2356</v>
      </c>
      <c r="E447" s="31" t="s">
        <v>2356</v>
      </c>
      <c r="F447" s="31" t="s">
        <v>1944</v>
      </c>
      <c r="G447" s="31"/>
      <c r="H447" s="31" t="s">
        <v>2355</v>
      </c>
      <c r="I447" s="33">
        <v>7957.38</v>
      </c>
      <c r="J447" s="34">
        <v>0.22</v>
      </c>
      <c r="K447" s="32">
        <v>9708</v>
      </c>
      <c r="L447" s="31">
        <v>9708</v>
      </c>
      <c r="M447" s="31" t="s">
        <v>309</v>
      </c>
      <c r="N447" s="32">
        <v>13390</v>
      </c>
      <c r="O447" s="31" t="s">
        <v>309</v>
      </c>
      <c r="P447" s="31"/>
      <c r="Q447" s="31"/>
      <c r="R447" s="31"/>
      <c r="S447" s="31">
        <v>1</v>
      </c>
      <c r="T447" s="31"/>
      <c r="U447" s="31"/>
      <c r="V447" s="31"/>
      <c r="W447" s="31">
        <v>530</v>
      </c>
      <c r="X447" s="32">
        <v>390</v>
      </c>
      <c r="Y447" s="31">
        <v>320</v>
      </c>
      <c r="Z447" s="31" t="s">
        <v>889</v>
      </c>
      <c r="AA447" s="31"/>
      <c r="AB447" s="23">
        <f>_xlfn.XLOOKUP(E447,nomen!A:A,nomen!C:C,0)</f>
        <v>0</v>
      </c>
      <c r="AC447" s="31"/>
      <c r="AD447" s="31"/>
      <c r="AE447" s="31"/>
      <c r="AF447" s="27" t="s">
        <v>179</v>
      </c>
      <c r="AG447" s="35">
        <v>62.4</v>
      </c>
      <c r="AH447" s="33"/>
      <c r="AI447" s="21"/>
    </row>
    <row r="448" spans="1:35" x14ac:dyDescent="0.3">
      <c r="A448" s="31">
        <v>437</v>
      </c>
      <c r="B448" s="32">
        <v>4652245476407</v>
      </c>
      <c r="C448" s="31" t="s">
        <v>2357</v>
      </c>
      <c r="D448" s="31" t="s">
        <v>2358</v>
      </c>
      <c r="E448" s="31" t="s">
        <v>2358</v>
      </c>
      <c r="F448" s="31" t="s">
        <v>1944</v>
      </c>
      <c r="G448" s="31"/>
      <c r="H448" s="31" t="s">
        <v>2357</v>
      </c>
      <c r="I448" s="33">
        <v>4569.67</v>
      </c>
      <c r="J448" s="34">
        <v>0.22</v>
      </c>
      <c r="K448" s="32">
        <v>5575</v>
      </c>
      <c r="L448" s="31">
        <v>5575</v>
      </c>
      <c r="M448" s="31" t="s">
        <v>309</v>
      </c>
      <c r="N448" s="32">
        <v>7690</v>
      </c>
      <c r="O448" s="31" t="s">
        <v>309</v>
      </c>
      <c r="P448" s="31"/>
      <c r="Q448" s="31"/>
      <c r="R448" s="31"/>
      <c r="S448" s="31">
        <v>1</v>
      </c>
      <c r="T448" s="31"/>
      <c r="U448" s="31"/>
      <c r="V448" s="31"/>
      <c r="W448" s="31">
        <v>530</v>
      </c>
      <c r="X448" s="32">
        <v>390</v>
      </c>
      <c r="Y448" s="31">
        <v>320</v>
      </c>
      <c r="Z448" s="31" t="s">
        <v>889</v>
      </c>
      <c r="AA448" s="31"/>
      <c r="AB448" s="23">
        <f>_xlfn.XLOOKUP(E448,nomen!A:A,nomen!C:C,0)</f>
        <v>0</v>
      </c>
      <c r="AC448" s="31"/>
      <c r="AD448" s="31"/>
      <c r="AE448" s="31"/>
      <c r="AF448" s="27" t="s">
        <v>179</v>
      </c>
      <c r="AG448" s="35">
        <v>62.4</v>
      </c>
      <c r="AH448" s="33"/>
      <c r="AI448" s="21"/>
    </row>
    <row r="449" spans="1:47" x14ac:dyDescent="0.3">
      <c r="A449" s="31">
        <v>438</v>
      </c>
      <c r="B449" s="32">
        <v>4652245476513</v>
      </c>
      <c r="C449" s="31" t="s">
        <v>2359</v>
      </c>
      <c r="D449" s="31" t="s">
        <v>2360</v>
      </c>
      <c r="E449" s="31" t="s">
        <v>2360</v>
      </c>
      <c r="F449" s="31" t="s">
        <v>1944</v>
      </c>
      <c r="G449" s="31"/>
      <c r="H449" s="31" t="s">
        <v>2359</v>
      </c>
      <c r="I449" s="33">
        <v>7065.57</v>
      </c>
      <c r="J449" s="34">
        <v>0.22</v>
      </c>
      <c r="K449" s="32">
        <v>8620</v>
      </c>
      <c r="L449" s="31">
        <v>8620</v>
      </c>
      <c r="M449" s="31" t="s">
        <v>309</v>
      </c>
      <c r="N449" s="32">
        <v>11890</v>
      </c>
      <c r="O449" s="31" t="s">
        <v>309</v>
      </c>
      <c r="P449" s="31"/>
      <c r="Q449" s="31"/>
      <c r="R449" s="31"/>
      <c r="S449" s="31">
        <v>1</v>
      </c>
      <c r="T449" s="31"/>
      <c r="U449" s="31"/>
      <c r="V449" s="31"/>
      <c r="W449" s="31">
        <v>530</v>
      </c>
      <c r="X449" s="32">
        <v>390</v>
      </c>
      <c r="Y449" s="31">
        <v>320</v>
      </c>
      <c r="Z449" s="31" t="s">
        <v>889</v>
      </c>
      <c r="AA449" s="31"/>
      <c r="AB449" s="23">
        <f>_xlfn.XLOOKUP(E449,nomen!A:A,nomen!C:C,0)</f>
        <v>0</v>
      </c>
      <c r="AC449" s="31"/>
      <c r="AD449" s="31"/>
      <c r="AE449" s="31"/>
      <c r="AF449" s="27" t="s">
        <v>179</v>
      </c>
      <c r="AG449" s="35">
        <v>62.4</v>
      </c>
      <c r="AH449" s="33"/>
      <c r="AI449" s="21"/>
    </row>
    <row r="450" spans="1:47" x14ac:dyDescent="0.3">
      <c r="A450" s="31">
        <v>439</v>
      </c>
      <c r="B450" s="32">
        <v>4652245476339</v>
      </c>
      <c r="C450" s="31" t="s">
        <v>2361</v>
      </c>
      <c r="D450" s="31" t="s">
        <v>2362</v>
      </c>
      <c r="E450" s="31" t="s">
        <v>2362</v>
      </c>
      <c r="F450" s="31" t="s">
        <v>1944</v>
      </c>
      <c r="G450" s="31"/>
      <c r="H450" s="31" t="s">
        <v>2361</v>
      </c>
      <c r="I450" s="33">
        <v>6352.46</v>
      </c>
      <c r="J450" s="34">
        <v>0.22</v>
      </c>
      <c r="K450" s="32">
        <v>7750</v>
      </c>
      <c r="L450" s="31">
        <v>7750</v>
      </c>
      <c r="M450" s="31" t="s">
        <v>309</v>
      </c>
      <c r="N450" s="32">
        <v>10690</v>
      </c>
      <c r="O450" s="31" t="s">
        <v>309</v>
      </c>
      <c r="P450" s="31"/>
      <c r="Q450" s="31"/>
      <c r="R450" s="31"/>
      <c r="S450" s="31">
        <v>1</v>
      </c>
      <c r="T450" s="31"/>
      <c r="U450" s="31"/>
      <c r="V450" s="31"/>
      <c r="W450" s="31">
        <v>530</v>
      </c>
      <c r="X450" s="32">
        <v>390</v>
      </c>
      <c r="Y450" s="31">
        <v>320</v>
      </c>
      <c r="Z450" s="31" t="s">
        <v>889</v>
      </c>
      <c r="AA450" s="31"/>
      <c r="AB450" s="23">
        <f>_xlfn.XLOOKUP(E450,nomen!A:A,nomen!C:C,0)</f>
        <v>0</v>
      </c>
      <c r="AC450" s="31"/>
      <c r="AD450" s="31"/>
      <c r="AE450" s="31"/>
      <c r="AF450" s="27" t="s">
        <v>179</v>
      </c>
      <c r="AG450" s="35">
        <v>62.4</v>
      </c>
      <c r="AH450" s="33"/>
      <c r="AI450" s="21"/>
    </row>
    <row r="451" spans="1:47" x14ac:dyDescent="0.3">
      <c r="A451" s="31">
        <v>440</v>
      </c>
      <c r="B451" s="32">
        <v>4652245476049</v>
      </c>
      <c r="C451" s="31" t="s">
        <v>2363</v>
      </c>
      <c r="D451" s="31" t="s">
        <v>2364</v>
      </c>
      <c r="E451" s="31" t="s">
        <v>2364</v>
      </c>
      <c r="F451" s="31" t="s">
        <v>1944</v>
      </c>
      <c r="G451" s="31"/>
      <c r="H451" s="31" t="s">
        <v>2363</v>
      </c>
      <c r="I451" s="33">
        <v>8848.36</v>
      </c>
      <c r="J451" s="34">
        <v>0.22</v>
      </c>
      <c r="K451" s="32">
        <v>10795</v>
      </c>
      <c r="L451" s="31">
        <v>10795</v>
      </c>
      <c r="M451" s="31" t="s">
        <v>309</v>
      </c>
      <c r="N451" s="32">
        <v>14890</v>
      </c>
      <c r="O451" s="31" t="s">
        <v>309</v>
      </c>
      <c r="P451" s="31"/>
      <c r="Q451" s="31"/>
      <c r="R451" s="31"/>
      <c r="S451" s="31">
        <v>1</v>
      </c>
      <c r="T451" s="31"/>
      <c r="U451" s="31"/>
      <c r="V451" s="31"/>
      <c r="W451" s="31">
        <v>530</v>
      </c>
      <c r="X451" s="32">
        <v>390</v>
      </c>
      <c r="Y451" s="31">
        <v>320</v>
      </c>
      <c r="Z451" s="31" t="s">
        <v>889</v>
      </c>
      <c r="AA451" s="31"/>
      <c r="AB451" s="23">
        <f>_xlfn.XLOOKUP(E451,nomen!A:A,nomen!C:C,0)</f>
        <v>0</v>
      </c>
      <c r="AC451" s="31"/>
      <c r="AD451" s="31"/>
      <c r="AE451" s="31"/>
      <c r="AF451" s="27" t="s">
        <v>179</v>
      </c>
      <c r="AG451" s="35">
        <v>62.4</v>
      </c>
      <c r="AH451" s="33"/>
      <c r="AI451" s="21"/>
    </row>
    <row r="452" spans="1:47" x14ac:dyDescent="0.3">
      <c r="A452" s="31">
        <v>441</v>
      </c>
      <c r="B452" s="32">
        <v>4652245476681</v>
      </c>
      <c r="C452" s="31" t="s">
        <v>2365</v>
      </c>
      <c r="D452" s="31" t="s">
        <v>2366</v>
      </c>
      <c r="E452" s="31" t="s">
        <v>2366</v>
      </c>
      <c r="F452" s="31" t="s">
        <v>1944</v>
      </c>
      <c r="G452" s="31"/>
      <c r="H452" s="31" t="s">
        <v>2365</v>
      </c>
      <c r="I452" s="33">
        <v>7244.26</v>
      </c>
      <c r="J452" s="34">
        <v>0.22</v>
      </c>
      <c r="K452" s="32">
        <v>8838</v>
      </c>
      <c r="L452" s="31">
        <v>8838</v>
      </c>
      <c r="M452" s="31" t="s">
        <v>309</v>
      </c>
      <c r="N452" s="32">
        <v>12190</v>
      </c>
      <c r="O452" s="31" t="s">
        <v>309</v>
      </c>
      <c r="P452" s="31"/>
      <c r="Q452" s="31"/>
      <c r="R452" s="31"/>
      <c r="S452" s="31">
        <v>1</v>
      </c>
      <c r="T452" s="31"/>
      <c r="U452" s="31"/>
      <c r="V452" s="31"/>
      <c r="W452" s="31">
        <v>530</v>
      </c>
      <c r="X452" s="32">
        <v>390</v>
      </c>
      <c r="Y452" s="31">
        <v>320</v>
      </c>
      <c r="Z452" s="31" t="s">
        <v>889</v>
      </c>
      <c r="AA452" s="31"/>
      <c r="AB452" s="23">
        <f>_xlfn.XLOOKUP(E452,nomen!A:A,nomen!C:C,0)</f>
        <v>0</v>
      </c>
      <c r="AC452" s="31"/>
      <c r="AD452" s="31"/>
      <c r="AE452" s="31"/>
      <c r="AF452" s="27" t="s">
        <v>179</v>
      </c>
      <c r="AG452" s="35">
        <v>62.4</v>
      </c>
      <c r="AH452" s="33"/>
      <c r="AI452" s="21"/>
    </row>
    <row r="453" spans="1:47" x14ac:dyDescent="0.3">
      <c r="A453" s="31">
        <v>442</v>
      </c>
      <c r="B453" s="32">
        <v>4652245476551</v>
      </c>
      <c r="C453" s="31" t="s">
        <v>2367</v>
      </c>
      <c r="D453" s="31" t="s">
        <v>2368</v>
      </c>
      <c r="E453" s="31" t="s">
        <v>2368</v>
      </c>
      <c r="F453" s="31" t="s">
        <v>1944</v>
      </c>
      <c r="G453" s="31"/>
      <c r="H453" s="31" t="s">
        <v>2367</v>
      </c>
      <c r="I453" s="33">
        <v>9740.16</v>
      </c>
      <c r="J453" s="34">
        <v>0.22</v>
      </c>
      <c r="K453" s="32">
        <v>11883</v>
      </c>
      <c r="L453" s="31">
        <v>11883</v>
      </c>
      <c r="M453" s="31" t="s">
        <v>309</v>
      </c>
      <c r="N453" s="32">
        <v>16390</v>
      </c>
      <c r="O453" s="31" t="s">
        <v>309</v>
      </c>
      <c r="P453" s="31"/>
      <c r="Q453" s="31"/>
      <c r="R453" s="31"/>
      <c r="S453" s="31">
        <v>1</v>
      </c>
      <c r="T453" s="31"/>
      <c r="U453" s="31"/>
      <c r="V453" s="31"/>
      <c r="W453" s="31">
        <v>530</v>
      </c>
      <c r="X453" s="32">
        <v>390</v>
      </c>
      <c r="Y453" s="31">
        <v>320</v>
      </c>
      <c r="Z453" s="31" t="s">
        <v>889</v>
      </c>
      <c r="AA453" s="31"/>
      <c r="AB453" s="23">
        <f>_xlfn.XLOOKUP(E453,nomen!A:A,nomen!C:C,0)</f>
        <v>0</v>
      </c>
      <c r="AC453" s="31"/>
      <c r="AD453" s="31"/>
      <c r="AE453" s="31"/>
      <c r="AF453" s="27" t="s">
        <v>179</v>
      </c>
      <c r="AG453" s="35">
        <v>62.4</v>
      </c>
      <c r="AH453" s="33"/>
      <c r="AI453" s="21"/>
    </row>
    <row r="454" spans="1:47" x14ac:dyDescent="0.3">
      <c r="A454" s="31">
        <v>443</v>
      </c>
      <c r="B454" s="32">
        <v>4652245476629</v>
      </c>
      <c r="C454" s="31" t="s">
        <v>2369</v>
      </c>
      <c r="D454" s="31" t="s">
        <v>2370</v>
      </c>
      <c r="E454" s="31" t="s">
        <v>2370</v>
      </c>
      <c r="F454" s="31" t="s">
        <v>1944</v>
      </c>
      <c r="G454" s="31"/>
      <c r="H454" s="31" t="s">
        <v>2369</v>
      </c>
      <c r="I454" s="33">
        <v>7600.82</v>
      </c>
      <c r="J454" s="34">
        <v>0.22</v>
      </c>
      <c r="K454" s="32">
        <v>9273</v>
      </c>
      <c r="L454" s="31">
        <v>9273</v>
      </c>
      <c r="M454" s="31" t="s">
        <v>309</v>
      </c>
      <c r="N454" s="32">
        <v>12790</v>
      </c>
      <c r="O454" s="31" t="s">
        <v>309</v>
      </c>
      <c r="P454" s="31"/>
      <c r="Q454" s="31"/>
      <c r="R454" s="31"/>
      <c r="S454" s="31">
        <v>1</v>
      </c>
      <c r="T454" s="31"/>
      <c r="U454" s="31"/>
      <c r="V454" s="31"/>
      <c r="W454" s="31">
        <v>530</v>
      </c>
      <c r="X454" s="32">
        <v>390</v>
      </c>
      <c r="Y454" s="31">
        <v>320</v>
      </c>
      <c r="Z454" s="31" t="s">
        <v>889</v>
      </c>
      <c r="AA454" s="31"/>
      <c r="AB454" s="23">
        <f>_xlfn.XLOOKUP(E454,nomen!A:A,nomen!C:C,0)</f>
        <v>0</v>
      </c>
      <c r="AC454" s="31"/>
      <c r="AD454" s="31"/>
      <c r="AE454" s="31"/>
      <c r="AF454" s="27" t="s">
        <v>179</v>
      </c>
      <c r="AG454" s="35">
        <v>62.4</v>
      </c>
      <c r="AH454" s="33"/>
      <c r="AI454" s="21"/>
    </row>
    <row r="455" spans="1:47" x14ac:dyDescent="0.3">
      <c r="A455" s="31">
        <v>444</v>
      </c>
      <c r="B455" s="32">
        <v>4652245476476</v>
      </c>
      <c r="C455" s="31" t="s">
        <v>2371</v>
      </c>
      <c r="D455" s="31" t="s">
        <v>2372</v>
      </c>
      <c r="E455" s="31" t="s">
        <v>2372</v>
      </c>
      <c r="F455" s="31" t="s">
        <v>1944</v>
      </c>
      <c r="G455" s="31"/>
      <c r="H455" s="31" t="s">
        <v>2371</v>
      </c>
      <c r="I455" s="33">
        <v>5639.34</v>
      </c>
      <c r="J455" s="34">
        <v>0.22</v>
      </c>
      <c r="K455" s="32">
        <v>6880</v>
      </c>
      <c r="L455" s="31">
        <v>6880</v>
      </c>
      <c r="M455" s="31" t="s">
        <v>309</v>
      </c>
      <c r="N455" s="32">
        <v>9490</v>
      </c>
      <c r="O455" s="31" t="s">
        <v>309</v>
      </c>
      <c r="P455" s="31"/>
      <c r="Q455" s="31"/>
      <c r="R455" s="31"/>
      <c r="S455" s="31">
        <v>1</v>
      </c>
      <c r="T455" s="31"/>
      <c r="U455" s="31"/>
      <c r="V455" s="31"/>
      <c r="W455" s="31">
        <v>530</v>
      </c>
      <c r="X455" s="32">
        <v>390</v>
      </c>
      <c r="Y455" s="31">
        <v>320</v>
      </c>
      <c r="Z455" s="31" t="s">
        <v>889</v>
      </c>
      <c r="AA455" s="31"/>
      <c r="AB455" s="23">
        <f>_xlfn.XLOOKUP(E455,nomen!A:A,nomen!C:C,0)</f>
        <v>0</v>
      </c>
      <c r="AC455" s="31"/>
      <c r="AD455" s="31"/>
      <c r="AE455" s="31"/>
      <c r="AF455" s="27" t="s">
        <v>179</v>
      </c>
      <c r="AG455" s="35">
        <v>62.4</v>
      </c>
      <c r="AH455" s="33"/>
      <c r="AI455" s="21"/>
    </row>
    <row r="456" spans="1:47" x14ac:dyDescent="0.3">
      <c r="A456" s="31">
        <v>445</v>
      </c>
      <c r="B456" s="32">
        <v>4652245476018</v>
      </c>
      <c r="C456" s="31" t="s">
        <v>2373</v>
      </c>
      <c r="D456" s="31" t="s">
        <v>2374</v>
      </c>
      <c r="E456" s="31" t="s">
        <v>2374</v>
      </c>
      <c r="F456" s="31" t="s">
        <v>1944</v>
      </c>
      <c r="G456" s="31"/>
      <c r="H456" s="31" t="s">
        <v>2373</v>
      </c>
      <c r="I456" s="33">
        <v>5342.62</v>
      </c>
      <c r="J456" s="34">
        <v>0.22</v>
      </c>
      <c r="K456" s="32">
        <v>6518</v>
      </c>
      <c r="L456" s="31">
        <v>6518</v>
      </c>
      <c r="M456" s="31" t="s">
        <v>309</v>
      </c>
      <c r="N456" s="32">
        <v>8990</v>
      </c>
      <c r="O456" s="31" t="s">
        <v>309</v>
      </c>
      <c r="P456" s="31"/>
      <c r="Q456" s="31"/>
      <c r="R456" s="31"/>
      <c r="S456" s="31">
        <v>1</v>
      </c>
      <c r="T456" s="31"/>
      <c r="U456" s="31"/>
      <c r="V456" s="31"/>
      <c r="W456" s="31">
        <v>530</v>
      </c>
      <c r="X456" s="32">
        <v>390</v>
      </c>
      <c r="Y456" s="31">
        <v>320</v>
      </c>
      <c r="Z456" s="31" t="s">
        <v>889</v>
      </c>
      <c r="AA456" s="31"/>
      <c r="AB456" s="23">
        <f>_xlfn.XLOOKUP(E456,nomen!A:A,nomen!C:C,0)</f>
        <v>0</v>
      </c>
      <c r="AC456" s="31"/>
      <c r="AD456" s="31"/>
      <c r="AE456" s="31"/>
      <c r="AF456" s="27" t="s">
        <v>179</v>
      </c>
      <c r="AG456" s="35">
        <v>62.4</v>
      </c>
      <c r="AH456" s="33"/>
      <c r="AI456" s="21"/>
    </row>
    <row r="457" spans="1:47" x14ac:dyDescent="0.3">
      <c r="A457" s="31">
        <v>446</v>
      </c>
      <c r="B457" s="32">
        <v>4652245476261</v>
      </c>
      <c r="C457" s="31" t="s">
        <v>2375</v>
      </c>
      <c r="D457" s="31" t="s">
        <v>2376</v>
      </c>
      <c r="E457" s="31" t="s">
        <v>2376</v>
      </c>
      <c r="F457" s="31" t="s">
        <v>1944</v>
      </c>
      <c r="G457" s="31"/>
      <c r="H457" s="31" t="s">
        <v>2375</v>
      </c>
      <c r="I457" s="33">
        <v>6174.59</v>
      </c>
      <c r="J457" s="34">
        <v>0.22</v>
      </c>
      <c r="K457" s="32">
        <v>7533</v>
      </c>
      <c r="L457" s="31">
        <v>7533</v>
      </c>
      <c r="M457" s="31" t="s">
        <v>309</v>
      </c>
      <c r="N457" s="32">
        <v>10390</v>
      </c>
      <c r="O457" s="31" t="s">
        <v>309</v>
      </c>
      <c r="P457" s="31"/>
      <c r="Q457" s="31"/>
      <c r="R457" s="31"/>
      <c r="S457" s="31">
        <v>1</v>
      </c>
      <c r="T457" s="31"/>
      <c r="U457" s="31"/>
      <c r="V457" s="31"/>
      <c r="W457" s="31">
        <v>530</v>
      </c>
      <c r="X457" s="32">
        <v>390</v>
      </c>
      <c r="Y457" s="31">
        <v>320</v>
      </c>
      <c r="Z457" s="31" t="s">
        <v>889</v>
      </c>
      <c r="AA457" s="31"/>
      <c r="AB457" s="23">
        <f>_xlfn.XLOOKUP(E457,nomen!A:A,nomen!C:C,0)</f>
        <v>0</v>
      </c>
      <c r="AC457" s="31"/>
      <c r="AD457" s="31"/>
      <c r="AE457" s="31"/>
      <c r="AF457" s="27" t="s">
        <v>179</v>
      </c>
      <c r="AG457" s="35">
        <v>62.4</v>
      </c>
      <c r="AH457" s="33"/>
      <c r="AI457" s="21"/>
    </row>
    <row r="458" spans="1:47" x14ac:dyDescent="0.3">
      <c r="A458" s="31">
        <v>447</v>
      </c>
      <c r="B458" s="39" t="s">
        <v>2646</v>
      </c>
      <c r="C458" s="38" t="s">
        <v>2645</v>
      </c>
      <c r="D458" s="38" t="s">
        <v>1580</v>
      </c>
      <c r="E458" t="s">
        <v>1580</v>
      </c>
      <c r="F458" s="38" t="s">
        <v>1944</v>
      </c>
      <c r="H458" s="38" t="s">
        <v>2645</v>
      </c>
      <c r="I458" s="20">
        <v>148.36065573770492</v>
      </c>
      <c r="J458" s="34">
        <v>0.22</v>
      </c>
      <c r="K458">
        <v>181</v>
      </c>
      <c r="L458">
        <v>181</v>
      </c>
      <c r="M458" s="31" t="s">
        <v>309</v>
      </c>
      <c r="N458" s="13" t="s">
        <v>2647</v>
      </c>
      <c r="O458" s="31" t="s">
        <v>309</v>
      </c>
      <c r="S458" s="31">
        <v>1</v>
      </c>
      <c r="W458" s="38" t="s">
        <v>933</v>
      </c>
      <c r="X458" s="38" t="s">
        <v>933</v>
      </c>
      <c r="Y458" s="38" t="s">
        <v>911</v>
      </c>
      <c r="Z458" s="31" t="s">
        <v>889</v>
      </c>
      <c r="AF458" s="27" t="s">
        <v>179</v>
      </c>
      <c r="AG458" s="38" t="s">
        <v>892</v>
      </c>
      <c r="AH458" s="38"/>
      <c r="AK458" s="39"/>
      <c r="AM458" s="38"/>
      <c r="AN458" s="38"/>
      <c r="AO458" s="38"/>
      <c r="AP458" s="38" t="s">
        <v>2648</v>
      </c>
      <c r="AQ458" s="38">
        <v>1</v>
      </c>
      <c r="AR458" s="38" t="s">
        <v>933</v>
      </c>
      <c r="AS458" s="38" t="s">
        <v>933</v>
      </c>
      <c r="AT458" s="38" t="s">
        <v>911</v>
      </c>
      <c r="AU458" s="38" t="s">
        <v>892</v>
      </c>
    </row>
    <row r="459" spans="1:47" x14ac:dyDescent="0.3">
      <c r="A459" s="31">
        <v>448</v>
      </c>
      <c r="B459" s="39" t="s">
        <v>2651</v>
      </c>
      <c r="C459" s="38" t="s">
        <v>2649</v>
      </c>
      <c r="D459" s="38" t="s">
        <v>2650</v>
      </c>
      <c r="E459" t="s">
        <v>2650</v>
      </c>
      <c r="F459" s="38" t="s">
        <v>1944</v>
      </c>
      <c r="H459" s="38" t="s">
        <v>2649</v>
      </c>
      <c r="I459" s="20">
        <v>3440.9836065573772</v>
      </c>
      <c r="J459" s="34">
        <v>0.22</v>
      </c>
      <c r="K459">
        <v>4198</v>
      </c>
      <c r="L459">
        <v>4198</v>
      </c>
      <c r="M459" s="31" t="s">
        <v>309</v>
      </c>
      <c r="N459" s="13" t="s">
        <v>2652</v>
      </c>
      <c r="O459" s="31" t="s">
        <v>309</v>
      </c>
      <c r="S459" s="31">
        <v>1</v>
      </c>
      <c r="W459" s="38" t="s">
        <v>2653</v>
      </c>
      <c r="X459" s="38" t="s">
        <v>962</v>
      </c>
      <c r="Y459" s="38" t="s">
        <v>2654</v>
      </c>
      <c r="Z459" s="31" t="s">
        <v>889</v>
      </c>
      <c r="AF459" s="27" t="s">
        <v>179</v>
      </c>
      <c r="AG459" s="38" t="s">
        <v>2655</v>
      </c>
      <c r="AH459" s="38"/>
      <c r="AK459" s="39"/>
      <c r="AM459" s="38"/>
      <c r="AN459" s="38"/>
      <c r="AO459" s="38"/>
      <c r="AP459" s="38" t="s">
        <v>2648</v>
      </c>
      <c r="AQ459" s="38">
        <v>1</v>
      </c>
      <c r="AR459" s="38" t="s">
        <v>2653</v>
      </c>
      <c r="AS459" s="38" t="s">
        <v>962</v>
      </c>
      <c r="AT459" s="38" t="s">
        <v>2654</v>
      </c>
      <c r="AU459" s="38" t="s">
        <v>2655</v>
      </c>
    </row>
    <row r="460" spans="1:47" x14ac:dyDescent="0.3">
      <c r="A460" s="31">
        <v>449</v>
      </c>
      <c r="B460" s="41" t="s">
        <v>2658</v>
      </c>
      <c r="C460" s="40" t="s">
        <v>2656</v>
      </c>
      <c r="D460" s="40" t="s">
        <v>2657</v>
      </c>
      <c r="E460" t="s">
        <v>2657</v>
      </c>
      <c r="F460" s="40" t="s">
        <v>1944</v>
      </c>
      <c r="H460" s="40" t="s">
        <v>2656</v>
      </c>
      <c r="I460" s="20">
        <v>128.68852459016395</v>
      </c>
      <c r="J460" s="34">
        <v>0.22</v>
      </c>
      <c r="K460">
        <v>157</v>
      </c>
      <c r="L460">
        <v>157</v>
      </c>
      <c r="M460" s="31" t="s">
        <v>309</v>
      </c>
      <c r="N460" s="13" t="s">
        <v>2647</v>
      </c>
      <c r="O460" s="31" t="s">
        <v>309</v>
      </c>
      <c r="S460" s="31">
        <v>1</v>
      </c>
      <c r="W460" s="40">
        <v>23</v>
      </c>
      <c r="X460" s="40">
        <v>8</v>
      </c>
      <c r="Y460" s="40">
        <v>8</v>
      </c>
      <c r="Z460" s="31" t="s">
        <v>889</v>
      </c>
      <c r="AF460" s="27" t="s">
        <v>179</v>
      </c>
      <c r="AG460" s="40" t="s">
        <v>2660</v>
      </c>
      <c r="AH460" s="40" t="s">
        <v>2659</v>
      </c>
      <c r="AK460" s="41"/>
      <c r="AM460" s="40"/>
      <c r="AN460" s="40"/>
      <c r="AO460" s="40"/>
      <c r="AP460" s="40" t="s">
        <v>2648</v>
      </c>
      <c r="AQ460" s="40">
        <v>1</v>
      </c>
      <c r="AR460" s="40">
        <v>23</v>
      </c>
      <c r="AS460" s="40">
        <v>8</v>
      </c>
      <c r="AT460" s="40">
        <v>8</v>
      </c>
      <c r="AU460" s="40" t="s">
        <v>2660</v>
      </c>
    </row>
    <row r="461" spans="1:47" x14ac:dyDescent="0.3">
      <c r="A461" s="31">
        <v>450</v>
      </c>
      <c r="B461" s="39" t="s">
        <v>2662</v>
      </c>
      <c r="C461" s="38" t="s">
        <v>2661</v>
      </c>
      <c r="D461" s="38" t="s">
        <v>2321</v>
      </c>
      <c r="E461" t="s">
        <v>2321</v>
      </c>
      <c r="F461" s="38" t="s">
        <v>1944</v>
      </c>
      <c r="H461" s="38" t="s">
        <v>2661</v>
      </c>
      <c r="I461" s="20">
        <v>77.049180327868854</v>
      </c>
      <c r="J461" s="34">
        <v>0.22</v>
      </c>
      <c r="K461">
        <v>94</v>
      </c>
      <c r="L461">
        <v>94</v>
      </c>
      <c r="M461" s="31" t="s">
        <v>309</v>
      </c>
      <c r="N461" s="13" t="s">
        <v>2664</v>
      </c>
      <c r="O461" s="31" t="s">
        <v>309</v>
      </c>
      <c r="S461" s="31">
        <v>1</v>
      </c>
      <c r="W461" s="38" t="s">
        <v>928</v>
      </c>
      <c r="X461" s="38" t="s">
        <v>939</v>
      </c>
      <c r="Y461" s="38" t="s">
        <v>903</v>
      </c>
      <c r="Z461" s="31" t="s">
        <v>889</v>
      </c>
      <c r="AF461" s="27" t="s">
        <v>179</v>
      </c>
      <c r="AG461" s="38" t="s">
        <v>2665</v>
      </c>
      <c r="AH461" s="38" t="s">
        <v>2663</v>
      </c>
      <c r="AK461" s="39"/>
      <c r="AM461" s="38"/>
      <c r="AN461" s="38"/>
      <c r="AO461" s="38"/>
      <c r="AP461" s="38" t="s">
        <v>2648</v>
      </c>
      <c r="AQ461" s="38">
        <v>1</v>
      </c>
      <c r="AR461" s="38" t="s">
        <v>928</v>
      </c>
      <c r="AS461" s="38" t="s">
        <v>939</v>
      </c>
      <c r="AT461" s="38" t="s">
        <v>903</v>
      </c>
      <c r="AU461" s="38" t="s">
        <v>2665</v>
      </c>
    </row>
    <row r="462" spans="1:47" x14ac:dyDescent="0.3">
      <c r="A462" s="31">
        <v>451</v>
      </c>
      <c r="B462" s="39" t="s">
        <v>2668</v>
      </c>
      <c r="C462" s="38" t="s">
        <v>2666</v>
      </c>
      <c r="D462" s="38" t="s">
        <v>2667</v>
      </c>
      <c r="E462" t="s">
        <v>2667</v>
      </c>
      <c r="F462" s="38" t="s">
        <v>1944</v>
      </c>
      <c r="H462" s="38" t="s">
        <v>2666</v>
      </c>
      <c r="I462" s="20">
        <v>4727.8688524590161</v>
      </c>
      <c r="J462" s="34">
        <v>0.22</v>
      </c>
      <c r="K462">
        <v>5768</v>
      </c>
      <c r="L462">
        <v>5768</v>
      </c>
      <c r="M462" s="31" t="s">
        <v>309</v>
      </c>
      <c r="N462" s="13" t="s">
        <v>2669</v>
      </c>
      <c r="O462" s="31" t="s">
        <v>309</v>
      </c>
      <c r="S462" s="31">
        <v>1</v>
      </c>
      <c r="W462" s="38" t="s">
        <v>913</v>
      </c>
      <c r="X462" s="38" t="s">
        <v>2670</v>
      </c>
      <c r="Y462" s="38" t="s">
        <v>893</v>
      </c>
      <c r="Z462" s="31" t="s">
        <v>889</v>
      </c>
      <c r="AF462" s="27" t="s">
        <v>179</v>
      </c>
      <c r="AG462" s="38" t="s">
        <v>2671</v>
      </c>
      <c r="AH462" s="38"/>
      <c r="AK462" s="39"/>
      <c r="AM462" s="38"/>
      <c r="AN462" s="38"/>
      <c r="AO462" s="38"/>
      <c r="AP462" s="38" t="s">
        <v>2648</v>
      </c>
      <c r="AQ462" s="38">
        <v>1</v>
      </c>
      <c r="AR462" s="38" t="s">
        <v>913</v>
      </c>
      <c r="AS462" s="38" t="s">
        <v>2670</v>
      </c>
      <c r="AT462" s="38" t="s">
        <v>893</v>
      </c>
      <c r="AU462" s="38" t="s">
        <v>2671</v>
      </c>
    </row>
    <row r="463" spans="1:47" x14ac:dyDescent="0.3">
      <c r="A463" s="31">
        <v>452</v>
      </c>
      <c r="B463" s="39" t="s">
        <v>2674</v>
      </c>
      <c r="C463" s="38" t="s">
        <v>2672</v>
      </c>
      <c r="D463" s="38" t="s">
        <v>2673</v>
      </c>
      <c r="E463" t="s">
        <v>2673</v>
      </c>
      <c r="F463" s="38" t="s">
        <v>1944</v>
      </c>
      <c r="H463" s="38" t="s">
        <v>2672</v>
      </c>
      <c r="I463" s="20">
        <v>346.72131147540983</v>
      </c>
      <c r="J463" s="34">
        <v>0.22</v>
      </c>
      <c r="K463">
        <v>423</v>
      </c>
      <c r="L463">
        <v>423</v>
      </c>
      <c r="M463" s="31" t="s">
        <v>309</v>
      </c>
      <c r="N463" s="13" t="s">
        <v>2676</v>
      </c>
      <c r="O463" s="31" t="s">
        <v>309</v>
      </c>
      <c r="S463" s="31">
        <v>1</v>
      </c>
      <c r="W463" s="38" t="s">
        <v>939</v>
      </c>
      <c r="X463" s="38" t="s">
        <v>923</v>
      </c>
      <c r="Y463" s="38" t="s">
        <v>939</v>
      </c>
      <c r="Z463" s="31" t="s">
        <v>889</v>
      </c>
      <c r="AF463" s="27" t="s">
        <v>179</v>
      </c>
      <c r="AG463" s="38" t="s">
        <v>2677</v>
      </c>
      <c r="AH463" s="38" t="s">
        <v>2675</v>
      </c>
      <c r="AK463" s="39"/>
      <c r="AM463" s="38"/>
      <c r="AN463" s="38"/>
      <c r="AO463" s="38"/>
      <c r="AP463" s="38" t="s">
        <v>2648</v>
      </c>
      <c r="AQ463" s="38">
        <v>1</v>
      </c>
      <c r="AR463" s="38" t="s">
        <v>939</v>
      </c>
      <c r="AS463" s="38" t="s">
        <v>923</v>
      </c>
      <c r="AT463" s="38" t="s">
        <v>939</v>
      </c>
      <c r="AU463" s="38" t="s">
        <v>2677</v>
      </c>
    </row>
    <row r="464" spans="1:47" x14ac:dyDescent="0.3">
      <c r="A464" s="31">
        <v>453</v>
      </c>
      <c r="B464" s="39" t="s">
        <v>2680</v>
      </c>
      <c r="C464" s="38" t="s">
        <v>2678</v>
      </c>
      <c r="D464" s="38" t="s">
        <v>2679</v>
      </c>
      <c r="E464" t="s">
        <v>2679</v>
      </c>
      <c r="F464" s="38" t="s">
        <v>1944</v>
      </c>
      <c r="H464" s="38" t="s">
        <v>2678</v>
      </c>
      <c r="I464" s="20">
        <v>128.68852459016395</v>
      </c>
      <c r="J464" s="34">
        <v>0.22</v>
      </c>
      <c r="K464">
        <v>157</v>
      </c>
      <c r="L464">
        <v>157</v>
      </c>
      <c r="M464" s="31" t="s">
        <v>309</v>
      </c>
      <c r="N464" s="13" t="s">
        <v>2647</v>
      </c>
      <c r="O464" s="31" t="s">
        <v>309</v>
      </c>
      <c r="S464" s="31">
        <v>1</v>
      </c>
      <c r="W464" s="38" t="s">
        <v>933</v>
      </c>
      <c r="X464" s="38" t="s">
        <v>933</v>
      </c>
      <c r="Y464" s="38" t="s">
        <v>898</v>
      </c>
      <c r="Z464" s="31" t="s">
        <v>889</v>
      </c>
      <c r="AF464" s="27" t="s">
        <v>179</v>
      </c>
      <c r="AG464" s="38" t="s">
        <v>2681</v>
      </c>
      <c r="AH464" s="38"/>
      <c r="AK464" s="39"/>
      <c r="AM464" s="38"/>
      <c r="AN464" s="38"/>
      <c r="AO464" s="38"/>
      <c r="AP464" s="38" t="s">
        <v>2648</v>
      </c>
      <c r="AQ464" s="38">
        <v>1</v>
      </c>
      <c r="AR464" s="38" t="s">
        <v>933</v>
      </c>
      <c r="AS464" s="38" t="s">
        <v>933</v>
      </c>
      <c r="AT464" s="38" t="s">
        <v>898</v>
      </c>
      <c r="AU464" s="38" t="s">
        <v>2681</v>
      </c>
    </row>
    <row r="465" spans="1:47" x14ac:dyDescent="0.3">
      <c r="A465" s="31">
        <v>454</v>
      </c>
      <c r="B465" s="39" t="s">
        <v>2683</v>
      </c>
      <c r="C465" s="38" t="s">
        <v>2682</v>
      </c>
      <c r="D465" s="38" t="s">
        <v>1585</v>
      </c>
      <c r="E465" t="s">
        <v>1585</v>
      </c>
      <c r="F465" s="38" t="s">
        <v>1944</v>
      </c>
      <c r="H465" s="38" t="s">
        <v>2682</v>
      </c>
      <c r="I465" s="20">
        <v>98.360655737704917</v>
      </c>
      <c r="J465" s="34">
        <v>0.22</v>
      </c>
      <c r="K465">
        <v>120</v>
      </c>
      <c r="L465">
        <v>120</v>
      </c>
      <c r="M465" s="31" t="s">
        <v>309</v>
      </c>
      <c r="N465" s="13" t="s">
        <v>2684</v>
      </c>
      <c r="O465" s="31" t="s">
        <v>309</v>
      </c>
      <c r="S465" s="31">
        <v>1</v>
      </c>
      <c r="W465" s="38" t="s">
        <v>921</v>
      </c>
      <c r="X465" s="38" t="s">
        <v>921</v>
      </c>
      <c r="Y465" s="38" t="s">
        <v>923</v>
      </c>
      <c r="Z465" s="31" t="s">
        <v>889</v>
      </c>
      <c r="AF465" s="27" t="s">
        <v>179</v>
      </c>
      <c r="AG465" s="38" t="s">
        <v>2685</v>
      </c>
      <c r="AH465" s="38" t="s">
        <v>2659</v>
      </c>
      <c r="AK465" s="39"/>
      <c r="AM465" s="38"/>
      <c r="AN465" s="38"/>
      <c r="AO465" s="38"/>
      <c r="AP465" s="38" t="s">
        <v>2648</v>
      </c>
      <c r="AQ465" s="38">
        <v>1</v>
      </c>
      <c r="AR465" s="38" t="s">
        <v>921</v>
      </c>
      <c r="AS465" s="38" t="s">
        <v>921</v>
      </c>
      <c r="AT465" s="38" t="s">
        <v>923</v>
      </c>
      <c r="AU465" s="38" t="s">
        <v>2685</v>
      </c>
    </row>
    <row r="466" spans="1:47" x14ac:dyDescent="0.3">
      <c r="A466" s="31">
        <v>455</v>
      </c>
      <c r="B466" s="39" t="s">
        <v>2688</v>
      </c>
      <c r="C466" s="38" t="s">
        <v>2686</v>
      </c>
      <c r="D466" s="38" t="s">
        <v>2687</v>
      </c>
      <c r="E466" t="s">
        <v>2687</v>
      </c>
      <c r="F466" s="38" t="s">
        <v>1944</v>
      </c>
      <c r="H466" s="38" t="s">
        <v>2686</v>
      </c>
      <c r="I466" s="20">
        <v>128.68852459016395</v>
      </c>
      <c r="J466" s="34">
        <v>0.22</v>
      </c>
      <c r="K466">
        <v>157</v>
      </c>
      <c r="L466">
        <v>157</v>
      </c>
      <c r="M466" s="31" t="s">
        <v>309</v>
      </c>
      <c r="N466" s="13" t="s">
        <v>2647</v>
      </c>
      <c r="O466" s="31" t="s">
        <v>309</v>
      </c>
      <c r="S466" s="31">
        <v>1</v>
      </c>
      <c r="W466" s="38" t="s">
        <v>2689</v>
      </c>
      <c r="X466" s="38" t="s">
        <v>2690</v>
      </c>
      <c r="Y466" s="38" t="s">
        <v>2689</v>
      </c>
      <c r="Z466" s="31" t="s">
        <v>889</v>
      </c>
      <c r="AF466" s="27" t="s">
        <v>179</v>
      </c>
      <c r="AG466" s="38" t="s">
        <v>2691</v>
      </c>
      <c r="AH466" s="38"/>
      <c r="AK466" s="39"/>
      <c r="AM466" s="38"/>
      <c r="AN466" s="38"/>
      <c r="AO466" s="38"/>
      <c r="AP466" s="38" t="s">
        <v>2648</v>
      </c>
      <c r="AQ466" s="38">
        <v>1</v>
      </c>
      <c r="AR466" s="38" t="s">
        <v>2689</v>
      </c>
      <c r="AS466" s="38" t="s">
        <v>2690</v>
      </c>
      <c r="AT466" s="38" t="s">
        <v>2689</v>
      </c>
      <c r="AU466" s="38" t="s">
        <v>2691</v>
      </c>
    </row>
    <row r="467" spans="1:47" x14ac:dyDescent="0.3">
      <c r="A467" s="31">
        <v>456</v>
      </c>
      <c r="B467" s="39" t="s">
        <v>2694</v>
      </c>
      <c r="C467" s="38" t="s">
        <v>2692</v>
      </c>
      <c r="D467" s="38" t="s">
        <v>2693</v>
      </c>
      <c r="E467" t="s">
        <v>2693</v>
      </c>
      <c r="F467" s="38" t="s">
        <v>1944</v>
      </c>
      <c r="H467" s="38" t="s">
        <v>2692</v>
      </c>
      <c r="I467" s="20">
        <v>150</v>
      </c>
      <c r="J467" s="34">
        <v>0.22</v>
      </c>
      <c r="K467">
        <v>183</v>
      </c>
      <c r="L467">
        <v>183</v>
      </c>
      <c r="M467" s="31" t="s">
        <v>309</v>
      </c>
      <c r="N467" s="13" t="s">
        <v>2695</v>
      </c>
      <c r="O467" s="31" t="s">
        <v>309</v>
      </c>
      <c r="S467" s="31">
        <v>1</v>
      </c>
      <c r="W467" s="38" t="s">
        <v>897</v>
      </c>
      <c r="X467" s="38" t="s">
        <v>893</v>
      </c>
      <c r="Y467" s="38" t="s">
        <v>897</v>
      </c>
      <c r="Z467" s="31" t="s">
        <v>889</v>
      </c>
      <c r="AF467" s="27" t="s">
        <v>179</v>
      </c>
      <c r="AG467" s="38" t="s">
        <v>2696</v>
      </c>
      <c r="AH467" s="38"/>
      <c r="AK467" s="39"/>
      <c r="AM467" s="38"/>
      <c r="AN467" s="38"/>
      <c r="AO467" s="38"/>
      <c r="AP467" s="38" t="s">
        <v>2648</v>
      </c>
      <c r="AQ467" s="38">
        <v>1</v>
      </c>
      <c r="AR467" s="38" t="s">
        <v>897</v>
      </c>
      <c r="AS467" s="38" t="s">
        <v>893</v>
      </c>
      <c r="AT467" s="38" t="s">
        <v>897</v>
      </c>
      <c r="AU467" s="38" t="s">
        <v>2696</v>
      </c>
    </row>
    <row r="468" spans="1:47" x14ac:dyDescent="0.3">
      <c r="A468" s="31">
        <v>457</v>
      </c>
      <c r="B468" s="39" t="s">
        <v>2698</v>
      </c>
      <c r="C468" s="38" t="s">
        <v>2697</v>
      </c>
      <c r="D468" s="38" t="s">
        <v>2584</v>
      </c>
      <c r="E468" t="s">
        <v>2584</v>
      </c>
      <c r="F468" s="38" t="s">
        <v>1944</v>
      </c>
      <c r="H468" s="38" t="s">
        <v>2697</v>
      </c>
      <c r="I468" s="20">
        <v>212.29508196721312</v>
      </c>
      <c r="J468" s="34">
        <v>0.22</v>
      </c>
      <c r="K468">
        <v>259</v>
      </c>
      <c r="L468">
        <v>259</v>
      </c>
      <c r="M468" s="31" t="s">
        <v>309</v>
      </c>
      <c r="N468" s="13" t="s">
        <v>2700</v>
      </c>
      <c r="O468" s="31" t="s">
        <v>309</v>
      </c>
      <c r="S468" s="31">
        <v>1</v>
      </c>
      <c r="W468" s="38" t="s">
        <v>928</v>
      </c>
      <c r="X468" s="38" t="s">
        <v>2701</v>
      </c>
      <c r="Y468" s="38" t="s">
        <v>929</v>
      </c>
      <c r="Z468" s="31" t="s">
        <v>889</v>
      </c>
      <c r="AF468" s="27" t="s">
        <v>179</v>
      </c>
      <c r="AG468" s="38" t="s">
        <v>2702</v>
      </c>
      <c r="AH468" s="38" t="s">
        <v>2699</v>
      </c>
      <c r="AK468" s="39"/>
      <c r="AM468" s="38"/>
      <c r="AN468" s="38"/>
      <c r="AO468" s="38"/>
      <c r="AP468" s="38" t="s">
        <v>2648</v>
      </c>
      <c r="AQ468" s="38">
        <v>1</v>
      </c>
      <c r="AR468" s="38" t="s">
        <v>928</v>
      </c>
      <c r="AS468" s="38" t="s">
        <v>2701</v>
      </c>
      <c r="AT468" s="38" t="s">
        <v>929</v>
      </c>
      <c r="AU468" s="38" t="s">
        <v>2702</v>
      </c>
    </row>
    <row r="469" spans="1:47" x14ac:dyDescent="0.3">
      <c r="A469" s="31">
        <v>458</v>
      </c>
      <c r="B469" s="43" t="s">
        <v>2704</v>
      </c>
      <c r="C469" s="42" t="s">
        <v>2703</v>
      </c>
      <c r="D469" s="42" t="s">
        <v>1646</v>
      </c>
      <c r="E469" t="s">
        <v>1646</v>
      </c>
      <c r="F469" s="42" t="s">
        <v>1944</v>
      </c>
      <c r="H469" s="42" t="s">
        <v>2703</v>
      </c>
      <c r="I469" s="20">
        <v>336.88524590163934</v>
      </c>
      <c r="J469" s="34">
        <v>0.22</v>
      </c>
      <c r="K469">
        <v>411</v>
      </c>
      <c r="L469">
        <v>411</v>
      </c>
      <c r="M469" s="31" t="s">
        <v>309</v>
      </c>
      <c r="N469" s="13" t="s">
        <v>2705</v>
      </c>
      <c r="O469" s="31" t="s">
        <v>309</v>
      </c>
      <c r="S469" s="31">
        <v>1</v>
      </c>
      <c r="W469" s="42" t="s">
        <v>950</v>
      </c>
      <c r="X469" s="42" t="s">
        <v>950</v>
      </c>
      <c r="Y469" s="42" t="s">
        <v>921</v>
      </c>
      <c r="Z469" s="31" t="s">
        <v>889</v>
      </c>
      <c r="AF469" s="27" t="s">
        <v>179</v>
      </c>
      <c r="AG469" s="42" t="s">
        <v>2702</v>
      </c>
      <c r="AH469" s="42" t="s">
        <v>2699</v>
      </c>
      <c r="AK469" s="43"/>
      <c r="AM469" s="42"/>
      <c r="AN469" s="42"/>
      <c r="AO469" s="42"/>
      <c r="AP469" s="42" t="s">
        <v>2648</v>
      </c>
      <c r="AQ469" s="42">
        <v>1</v>
      </c>
      <c r="AR469" s="42" t="s">
        <v>950</v>
      </c>
      <c r="AS469" s="42" t="s">
        <v>950</v>
      </c>
      <c r="AT469" s="42" t="s">
        <v>921</v>
      </c>
      <c r="AU469" s="42" t="s">
        <v>2702</v>
      </c>
    </row>
    <row r="470" spans="1:47" x14ac:dyDescent="0.3">
      <c r="A470" s="31">
        <v>459</v>
      </c>
      <c r="B470" s="43" t="s">
        <v>2708</v>
      </c>
      <c r="C470" s="42" t="s">
        <v>2706</v>
      </c>
      <c r="D470" s="42" t="s">
        <v>2707</v>
      </c>
      <c r="E470" t="s">
        <v>2707</v>
      </c>
      <c r="F470" s="42" t="s">
        <v>1944</v>
      </c>
      <c r="H470" s="42" t="s">
        <v>2706</v>
      </c>
      <c r="I470" s="20">
        <v>247.54098360655738</v>
      </c>
      <c r="J470" s="34">
        <v>0.22</v>
      </c>
      <c r="K470">
        <v>302</v>
      </c>
      <c r="L470">
        <v>302</v>
      </c>
      <c r="M470" s="31" t="s">
        <v>309</v>
      </c>
      <c r="N470" s="13" t="s">
        <v>2709</v>
      </c>
      <c r="O470" s="31" t="s">
        <v>309</v>
      </c>
      <c r="S470" s="31">
        <v>1</v>
      </c>
      <c r="W470" s="42" t="s">
        <v>912</v>
      </c>
      <c r="X470" s="42" t="s">
        <v>2710</v>
      </c>
      <c r="Y470" s="42" t="s">
        <v>929</v>
      </c>
      <c r="Z470" s="31" t="s">
        <v>889</v>
      </c>
      <c r="AF470" s="27" t="s">
        <v>179</v>
      </c>
      <c r="AG470" s="42" t="s">
        <v>2702</v>
      </c>
      <c r="AH470" s="42" t="s">
        <v>2699</v>
      </c>
      <c r="AK470" s="43"/>
      <c r="AM470" s="42"/>
      <c r="AN470" s="42"/>
      <c r="AO470" s="42"/>
      <c r="AP470" s="42" t="s">
        <v>2648</v>
      </c>
      <c r="AQ470" s="42">
        <v>1</v>
      </c>
      <c r="AR470" s="42" t="s">
        <v>912</v>
      </c>
      <c r="AS470" s="42" t="s">
        <v>2710</v>
      </c>
      <c r="AT470" s="42" t="s">
        <v>929</v>
      </c>
      <c r="AU470" s="42" t="s">
        <v>2702</v>
      </c>
    </row>
    <row r="471" spans="1:47" x14ac:dyDescent="0.3">
      <c r="A471" s="31">
        <v>460</v>
      </c>
      <c r="B471" s="43" t="s">
        <v>2712</v>
      </c>
      <c r="C471" s="42" t="s">
        <v>2711</v>
      </c>
      <c r="D471" s="42" t="s">
        <v>1802</v>
      </c>
      <c r="E471" t="s">
        <v>1802</v>
      </c>
      <c r="F471" s="42" t="s">
        <v>1944</v>
      </c>
      <c r="H471" s="42" t="s">
        <v>2711</v>
      </c>
      <c r="I471" s="20">
        <v>318.03278688524591</v>
      </c>
      <c r="J471" s="34">
        <v>0.22</v>
      </c>
      <c r="K471">
        <v>388</v>
      </c>
      <c r="L471">
        <v>388</v>
      </c>
      <c r="M471" s="31" t="s">
        <v>309</v>
      </c>
      <c r="N471" s="13" t="s">
        <v>2700</v>
      </c>
      <c r="O471" s="31" t="s">
        <v>309</v>
      </c>
      <c r="S471" s="31">
        <v>1</v>
      </c>
      <c r="W471" s="42" t="s">
        <v>928</v>
      </c>
      <c r="X471" s="42" t="s">
        <v>928</v>
      </c>
      <c r="Y471" s="42" t="s">
        <v>895</v>
      </c>
      <c r="Z471" s="31" t="s">
        <v>889</v>
      </c>
      <c r="AF471" s="27" t="s">
        <v>179</v>
      </c>
      <c r="AG471" s="42" t="s">
        <v>2702</v>
      </c>
      <c r="AH471" s="42" t="s">
        <v>2699</v>
      </c>
      <c r="AK471" s="43"/>
      <c r="AM471" s="42"/>
      <c r="AN471" s="42"/>
      <c r="AO471" s="42"/>
      <c r="AP471" s="42" t="s">
        <v>2648</v>
      </c>
      <c r="AQ471" s="42">
        <v>1</v>
      </c>
      <c r="AR471" s="42" t="s">
        <v>928</v>
      </c>
      <c r="AS471" s="42" t="s">
        <v>928</v>
      </c>
      <c r="AT471" s="42" t="s">
        <v>895</v>
      </c>
      <c r="AU471" s="42" t="s">
        <v>2702</v>
      </c>
    </row>
    <row r="472" spans="1:47" x14ac:dyDescent="0.3">
      <c r="A472" s="31">
        <v>461</v>
      </c>
      <c r="B472" s="43" t="s">
        <v>2715</v>
      </c>
      <c r="C472" s="42" t="s">
        <v>2713</v>
      </c>
      <c r="D472" s="42" t="s">
        <v>2714</v>
      </c>
      <c r="E472" t="s">
        <v>2714</v>
      </c>
      <c r="F472" s="42" t="s">
        <v>1944</v>
      </c>
      <c r="H472" s="42" t="s">
        <v>2713</v>
      </c>
      <c r="I472" s="20">
        <v>272.95081967213116</v>
      </c>
      <c r="J472" s="34">
        <v>0.22</v>
      </c>
      <c r="K472">
        <v>333</v>
      </c>
      <c r="L472">
        <v>333</v>
      </c>
      <c r="M472" s="31" t="s">
        <v>309</v>
      </c>
      <c r="N472" s="13" t="s">
        <v>2716</v>
      </c>
      <c r="O472" s="31" t="s">
        <v>309</v>
      </c>
      <c r="S472" s="31">
        <v>1</v>
      </c>
      <c r="W472" s="42" t="s">
        <v>890</v>
      </c>
      <c r="X472" s="42" t="s">
        <v>2717</v>
      </c>
      <c r="Y472" s="42" t="s">
        <v>929</v>
      </c>
      <c r="Z472" s="31" t="s">
        <v>889</v>
      </c>
      <c r="AF472" s="27" t="s">
        <v>179</v>
      </c>
      <c r="AG472" s="42" t="s">
        <v>2702</v>
      </c>
      <c r="AH472" s="42" t="s">
        <v>2699</v>
      </c>
      <c r="AK472" s="43"/>
      <c r="AM472" s="42"/>
      <c r="AN472" s="42"/>
      <c r="AO472" s="42"/>
      <c r="AP472" s="42" t="s">
        <v>2648</v>
      </c>
      <c r="AQ472" s="42">
        <v>1</v>
      </c>
      <c r="AR472" s="42" t="s">
        <v>890</v>
      </c>
      <c r="AS472" s="42" t="s">
        <v>2717</v>
      </c>
      <c r="AT472" s="42" t="s">
        <v>929</v>
      </c>
      <c r="AU472" s="42" t="s">
        <v>2702</v>
      </c>
    </row>
    <row r="473" spans="1:47" x14ac:dyDescent="0.3">
      <c r="A473" s="31">
        <v>462</v>
      </c>
      <c r="B473" s="43" t="s">
        <v>2719</v>
      </c>
      <c r="C473" s="42" t="s">
        <v>2718</v>
      </c>
      <c r="D473" s="42" t="s">
        <v>2545</v>
      </c>
      <c r="E473" t="s">
        <v>2545</v>
      </c>
      <c r="F473" s="42" t="s">
        <v>1944</v>
      </c>
      <c r="H473" s="42" t="s">
        <v>2718</v>
      </c>
      <c r="I473" s="20">
        <v>145.90163934426229</v>
      </c>
      <c r="J473" s="34">
        <v>0.22</v>
      </c>
      <c r="K473">
        <v>178</v>
      </c>
      <c r="L473">
        <v>178</v>
      </c>
      <c r="M473" s="31" t="s">
        <v>309</v>
      </c>
      <c r="N473" s="13" t="s">
        <v>2720</v>
      </c>
      <c r="O473" s="31" t="s">
        <v>309</v>
      </c>
      <c r="S473" s="31">
        <v>1</v>
      </c>
      <c r="W473" s="42" t="s">
        <v>2721</v>
      </c>
      <c r="X473" s="42" t="s">
        <v>933</v>
      </c>
      <c r="Y473" s="42" t="s">
        <v>955</v>
      </c>
      <c r="Z473" s="31" t="s">
        <v>889</v>
      </c>
      <c r="AF473" s="27" t="s">
        <v>179</v>
      </c>
      <c r="AG473" s="42" t="s">
        <v>2702</v>
      </c>
      <c r="AH473" s="42" t="s">
        <v>2699</v>
      </c>
      <c r="AK473" s="43"/>
      <c r="AM473" s="42"/>
      <c r="AN473" s="42"/>
      <c r="AO473" s="42"/>
      <c r="AP473" s="42" t="s">
        <v>2648</v>
      </c>
      <c r="AQ473" s="42">
        <v>1</v>
      </c>
      <c r="AR473" s="42" t="s">
        <v>2721</v>
      </c>
      <c r="AS473" s="42" t="s">
        <v>933</v>
      </c>
      <c r="AT473" s="42" t="s">
        <v>955</v>
      </c>
      <c r="AU473" s="42" t="s">
        <v>2702</v>
      </c>
    </row>
    <row r="474" spans="1:47" x14ac:dyDescent="0.3">
      <c r="A474" s="31">
        <v>463</v>
      </c>
      <c r="B474" s="43" t="s">
        <v>2723</v>
      </c>
      <c r="C474" s="42" t="s">
        <v>2722</v>
      </c>
      <c r="D474" s="42" t="s">
        <v>2539</v>
      </c>
      <c r="E474" t="s">
        <v>2539</v>
      </c>
      <c r="F474" s="42" t="s">
        <v>1944</v>
      </c>
      <c r="H474" s="42" t="s">
        <v>2722</v>
      </c>
      <c r="I474" s="20">
        <v>254.09836065573771</v>
      </c>
      <c r="J474" s="34">
        <v>0.22</v>
      </c>
      <c r="K474">
        <v>310</v>
      </c>
      <c r="L474">
        <v>310</v>
      </c>
      <c r="M474" s="31" t="s">
        <v>309</v>
      </c>
      <c r="N474" s="13" t="s">
        <v>2724</v>
      </c>
      <c r="O474" s="31" t="s">
        <v>309</v>
      </c>
      <c r="S474" s="31">
        <v>1</v>
      </c>
      <c r="W474" s="42" t="s">
        <v>939</v>
      </c>
      <c r="X474" s="42" t="s">
        <v>2725</v>
      </c>
      <c r="Y474" s="42" t="s">
        <v>956</v>
      </c>
      <c r="Z474" s="31" t="s">
        <v>889</v>
      </c>
      <c r="AF474" s="27" t="s">
        <v>179</v>
      </c>
      <c r="AG474" s="42" t="s">
        <v>2702</v>
      </c>
      <c r="AH474" s="42" t="s">
        <v>2699</v>
      </c>
      <c r="AK474" s="43"/>
      <c r="AM474" s="42"/>
      <c r="AN474" s="42"/>
      <c r="AO474" s="42"/>
      <c r="AP474" s="42" t="s">
        <v>2648</v>
      </c>
      <c r="AQ474" s="42">
        <v>1</v>
      </c>
      <c r="AR474" s="42" t="s">
        <v>939</v>
      </c>
      <c r="AS474" s="42" t="s">
        <v>2725</v>
      </c>
      <c r="AT474" s="42" t="s">
        <v>956</v>
      </c>
      <c r="AU474" s="42" t="s">
        <v>2702</v>
      </c>
    </row>
    <row r="475" spans="1:47" x14ac:dyDescent="0.3">
      <c r="A475" s="31">
        <v>464</v>
      </c>
      <c r="B475" s="42" t="s">
        <v>2727</v>
      </c>
      <c r="C475" s="42" t="s">
        <v>2726</v>
      </c>
      <c r="D475" s="42" t="s">
        <v>1844</v>
      </c>
      <c r="E475" t="s">
        <v>1844</v>
      </c>
      <c r="F475" s="42" t="s">
        <v>1944</v>
      </c>
      <c r="H475" s="42" t="s">
        <v>2726</v>
      </c>
      <c r="I475" s="20">
        <v>254.09836065573771</v>
      </c>
      <c r="J475" s="34">
        <v>0.22</v>
      </c>
      <c r="K475">
        <v>310</v>
      </c>
      <c r="L475">
        <v>310</v>
      </c>
      <c r="M475" s="31" t="s">
        <v>309</v>
      </c>
      <c r="N475" s="13" t="s">
        <v>2724</v>
      </c>
      <c r="O475" s="31" t="s">
        <v>309</v>
      </c>
      <c r="S475" s="31">
        <v>1</v>
      </c>
      <c r="W475" s="42" t="s">
        <v>939</v>
      </c>
      <c r="X475" s="42" t="s">
        <v>2725</v>
      </c>
      <c r="Y475" s="42" t="s">
        <v>956</v>
      </c>
      <c r="Z475" s="31" t="s">
        <v>889</v>
      </c>
      <c r="AF475" s="27" t="s">
        <v>179</v>
      </c>
      <c r="AG475" s="42" t="s">
        <v>2702</v>
      </c>
      <c r="AH475" s="42" t="s">
        <v>2699</v>
      </c>
      <c r="AK475" s="42"/>
      <c r="AM475" s="42"/>
      <c r="AN475" s="42"/>
      <c r="AO475" s="42"/>
      <c r="AP475" s="42" t="s">
        <v>2648</v>
      </c>
      <c r="AQ475" s="42">
        <v>1</v>
      </c>
      <c r="AR475" s="42" t="s">
        <v>939</v>
      </c>
      <c r="AS475" s="42" t="s">
        <v>2725</v>
      </c>
      <c r="AT475" s="42" t="s">
        <v>956</v>
      </c>
      <c r="AU475" s="42" t="s">
        <v>2702</v>
      </c>
    </row>
    <row r="476" spans="1:47" x14ac:dyDescent="0.3">
      <c r="A476" s="31">
        <v>465</v>
      </c>
      <c r="B476" s="42" t="s">
        <v>2729</v>
      </c>
      <c r="C476" s="42" t="s">
        <v>2728</v>
      </c>
      <c r="D476" s="42" t="s">
        <v>2580</v>
      </c>
      <c r="E476" t="s">
        <v>2580</v>
      </c>
      <c r="F476" s="42" t="s">
        <v>1944</v>
      </c>
      <c r="H476" s="42" t="s">
        <v>2728</v>
      </c>
      <c r="I476" s="20">
        <v>437.70491803278691</v>
      </c>
      <c r="J476" s="34">
        <v>0.22</v>
      </c>
      <c r="K476">
        <v>534</v>
      </c>
      <c r="L476">
        <v>534</v>
      </c>
      <c r="M476" s="31" t="s">
        <v>309</v>
      </c>
      <c r="N476" s="13" t="s">
        <v>2676</v>
      </c>
      <c r="O476" s="31" t="s">
        <v>309</v>
      </c>
      <c r="S476" s="31">
        <v>1</v>
      </c>
      <c r="W476" s="42" t="s">
        <v>2725</v>
      </c>
      <c r="X476" s="42" t="s">
        <v>923</v>
      </c>
      <c r="Y476" s="42" t="s">
        <v>956</v>
      </c>
      <c r="Z476" s="31" t="s">
        <v>889</v>
      </c>
      <c r="AF476" s="27" t="s">
        <v>179</v>
      </c>
      <c r="AG476" s="42" t="s">
        <v>2702</v>
      </c>
      <c r="AH476" s="42" t="s">
        <v>2699</v>
      </c>
      <c r="AK476" s="42"/>
      <c r="AM476" s="42"/>
      <c r="AN476" s="42"/>
      <c r="AO476" s="42"/>
      <c r="AP476" s="42" t="s">
        <v>2648</v>
      </c>
      <c r="AQ476" s="42">
        <v>1</v>
      </c>
      <c r="AR476" s="42" t="s">
        <v>2725</v>
      </c>
      <c r="AS476" s="42" t="s">
        <v>923</v>
      </c>
      <c r="AT476" s="42" t="s">
        <v>956</v>
      </c>
      <c r="AU476" s="42" t="s">
        <v>2702</v>
      </c>
    </row>
    <row r="477" spans="1:47" x14ac:dyDescent="0.3">
      <c r="A477" s="31">
        <v>466</v>
      </c>
      <c r="B477" s="42" t="s">
        <v>2731</v>
      </c>
      <c r="C477" s="42" t="s">
        <v>2730</v>
      </c>
      <c r="D477" s="42" t="s">
        <v>2557</v>
      </c>
      <c r="E477" t="s">
        <v>2557</v>
      </c>
      <c r="F477" s="42" t="s">
        <v>1944</v>
      </c>
      <c r="H477" s="42" t="s">
        <v>2730</v>
      </c>
      <c r="I477" s="20">
        <v>418.85245901639342</v>
      </c>
      <c r="J477" s="34">
        <v>0.22</v>
      </c>
      <c r="K477">
        <v>511</v>
      </c>
      <c r="L477">
        <v>511</v>
      </c>
      <c r="M477" s="31" t="s">
        <v>309</v>
      </c>
      <c r="N477" s="13" t="s">
        <v>2732</v>
      </c>
      <c r="O477" s="31" t="s">
        <v>309</v>
      </c>
      <c r="S477" s="31">
        <v>1</v>
      </c>
      <c r="W477" s="42" t="s">
        <v>908</v>
      </c>
      <c r="X477" s="42" t="s">
        <v>923</v>
      </c>
      <c r="Y477" s="42" t="s">
        <v>956</v>
      </c>
      <c r="Z477" s="31" t="s">
        <v>889</v>
      </c>
      <c r="AF477" s="27" t="s">
        <v>179</v>
      </c>
      <c r="AG477" s="42" t="s">
        <v>2702</v>
      </c>
      <c r="AH477" s="42" t="s">
        <v>2699</v>
      </c>
      <c r="AK477" s="42"/>
      <c r="AM477" s="42"/>
      <c r="AN477" s="42"/>
      <c r="AO477" s="42"/>
      <c r="AP477" s="42" t="s">
        <v>2648</v>
      </c>
      <c r="AQ477" s="42">
        <v>1</v>
      </c>
      <c r="AR477" s="42" t="s">
        <v>908</v>
      </c>
      <c r="AS477" s="42" t="s">
        <v>923</v>
      </c>
      <c r="AT477" s="42" t="s">
        <v>956</v>
      </c>
      <c r="AU477" s="42" t="s">
        <v>2702</v>
      </c>
    </row>
    <row r="478" spans="1:47" x14ac:dyDescent="0.3">
      <c r="A478" s="31">
        <v>467</v>
      </c>
      <c r="B478" s="42" t="s">
        <v>2734</v>
      </c>
      <c r="C478" s="42" t="s">
        <v>2733</v>
      </c>
      <c r="D478" s="42" t="s">
        <v>2640</v>
      </c>
      <c r="E478" t="s">
        <v>2640</v>
      </c>
      <c r="F478" s="42" t="s">
        <v>1944</v>
      </c>
      <c r="H478" s="42" t="s">
        <v>2733</v>
      </c>
      <c r="I478" s="20">
        <v>304.91803278688525</v>
      </c>
      <c r="J478" s="34">
        <v>0.22</v>
      </c>
      <c r="K478">
        <v>372</v>
      </c>
      <c r="L478">
        <v>372</v>
      </c>
      <c r="M478" s="31" t="s">
        <v>309</v>
      </c>
      <c r="N478" s="13" t="s">
        <v>2735</v>
      </c>
      <c r="O478" s="31" t="s">
        <v>309</v>
      </c>
      <c r="S478" s="31">
        <v>1</v>
      </c>
      <c r="W478" s="42" t="s">
        <v>2725</v>
      </c>
      <c r="X478" s="42" t="s">
        <v>923</v>
      </c>
      <c r="Y478" s="42" t="s">
        <v>929</v>
      </c>
      <c r="Z478" s="31" t="s">
        <v>889</v>
      </c>
      <c r="AF478" s="27" t="s">
        <v>179</v>
      </c>
      <c r="AG478" s="42" t="s">
        <v>2702</v>
      </c>
      <c r="AH478" s="42" t="s">
        <v>2699</v>
      </c>
      <c r="AK478" s="42"/>
      <c r="AM478" s="42"/>
      <c r="AN478" s="42"/>
      <c r="AO478" s="42"/>
      <c r="AP478" s="42" t="s">
        <v>2648</v>
      </c>
      <c r="AQ478" s="42">
        <v>1</v>
      </c>
      <c r="AR478" s="42" t="s">
        <v>2725</v>
      </c>
      <c r="AS478" s="42" t="s">
        <v>923</v>
      </c>
      <c r="AT478" s="42" t="s">
        <v>929</v>
      </c>
      <c r="AU478" s="42" t="s">
        <v>2702</v>
      </c>
    </row>
    <row r="479" spans="1:47" x14ac:dyDescent="0.3">
      <c r="A479" s="31">
        <v>468</v>
      </c>
      <c r="B479" s="42" t="s">
        <v>2737</v>
      </c>
      <c r="C479" s="42" t="s">
        <v>2736</v>
      </c>
      <c r="D479" s="42" t="s">
        <v>1679</v>
      </c>
      <c r="E479" t="s">
        <v>1679</v>
      </c>
      <c r="F479" s="42" t="s">
        <v>1944</v>
      </c>
      <c r="H479" s="42" t="s">
        <v>2736</v>
      </c>
      <c r="I479" s="20">
        <v>318.03278688524591</v>
      </c>
      <c r="J479" s="34">
        <v>0.22</v>
      </c>
      <c r="K479">
        <v>388</v>
      </c>
      <c r="L479">
        <v>388</v>
      </c>
      <c r="M479" s="31" t="s">
        <v>309</v>
      </c>
      <c r="N479" s="13" t="s">
        <v>2700</v>
      </c>
      <c r="O479" s="31" t="s">
        <v>309</v>
      </c>
      <c r="S479" s="31">
        <v>1</v>
      </c>
      <c r="W479" s="42" t="s">
        <v>922</v>
      </c>
      <c r="X479" s="42" t="s">
        <v>890</v>
      </c>
      <c r="Y479" s="42" t="s">
        <v>922</v>
      </c>
      <c r="Z479" s="31" t="s">
        <v>889</v>
      </c>
      <c r="AF479" s="27" t="s">
        <v>179</v>
      </c>
      <c r="AG479" s="42" t="s">
        <v>2702</v>
      </c>
      <c r="AH479" s="42" t="s">
        <v>2699</v>
      </c>
      <c r="AK479" s="42"/>
      <c r="AM479" s="42"/>
      <c r="AN479" s="42"/>
      <c r="AO479" s="42"/>
      <c r="AP479" s="42" t="s">
        <v>2648</v>
      </c>
      <c r="AQ479" s="42">
        <v>1</v>
      </c>
      <c r="AR479" s="42" t="s">
        <v>922</v>
      </c>
      <c r="AS479" s="42" t="s">
        <v>890</v>
      </c>
      <c r="AT479" s="42" t="s">
        <v>922</v>
      </c>
      <c r="AU479" s="42" t="s">
        <v>2702</v>
      </c>
    </row>
    <row r="480" spans="1:47" x14ac:dyDescent="0.3">
      <c r="A480" s="31">
        <v>469</v>
      </c>
      <c r="B480" s="42" t="s">
        <v>2740</v>
      </c>
      <c r="C480" s="42" t="s">
        <v>2738</v>
      </c>
      <c r="D480" s="42" t="s">
        <v>2739</v>
      </c>
      <c r="E480" t="s">
        <v>2739</v>
      </c>
      <c r="F480" s="42" t="s">
        <v>1944</v>
      </c>
      <c r="H480" s="42" t="s">
        <v>2738</v>
      </c>
      <c r="I480" s="20">
        <v>520.49180327868851</v>
      </c>
      <c r="J480" s="34">
        <v>0.22</v>
      </c>
      <c r="K480">
        <v>635</v>
      </c>
      <c r="L480">
        <v>635</v>
      </c>
      <c r="M480" s="31" t="s">
        <v>309</v>
      </c>
      <c r="N480" s="13" t="s">
        <v>2741</v>
      </c>
      <c r="O480" s="31" t="s">
        <v>309</v>
      </c>
      <c r="S480" s="31">
        <v>1</v>
      </c>
      <c r="W480" s="42" t="s">
        <v>921</v>
      </c>
      <c r="X480" s="42" t="s">
        <v>1004</v>
      </c>
      <c r="Y480" s="42" t="s">
        <v>895</v>
      </c>
      <c r="Z480" s="31" t="s">
        <v>889</v>
      </c>
      <c r="AF480" s="27" t="s">
        <v>179</v>
      </c>
      <c r="AG480" s="42" t="s">
        <v>2702</v>
      </c>
      <c r="AH480" s="42" t="s">
        <v>2699</v>
      </c>
      <c r="AK480" s="42"/>
      <c r="AM480" s="42"/>
      <c r="AN480" s="42"/>
      <c r="AO480" s="42"/>
      <c r="AP480" s="42" t="s">
        <v>2648</v>
      </c>
      <c r="AQ480" s="42">
        <v>1</v>
      </c>
      <c r="AR480" s="42" t="s">
        <v>921</v>
      </c>
      <c r="AS480" s="42" t="s">
        <v>1004</v>
      </c>
      <c r="AT480" s="42" t="s">
        <v>895</v>
      </c>
      <c r="AU480" s="42" t="s">
        <v>2702</v>
      </c>
    </row>
    <row r="481" spans="1:47" x14ac:dyDescent="0.3">
      <c r="A481" s="31">
        <v>470</v>
      </c>
      <c r="B481" s="42" t="s">
        <v>2744</v>
      </c>
      <c r="C481" s="42" t="s">
        <v>2742</v>
      </c>
      <c r="D481" s="42" t="s">
        <v>2743</v>
      </c>
      <c r="E481" t="s">
        <v>2743</v>
      </c>
      <c r="F481" s="42" t="s">
        <v>1944</v>
      </c>
      <c r="H481" s="42" t="s">
        <v>2742</v>
      </c>
      <c r="I481" s="20">
        <v>418.85245901639342</v>
      </c>
      <c r="J481" s="34">
        <v>0.22</v>
      </c>
      <c r="K481">
        <v>511</v>
      </c>
      <c r="L481">
        <v>511</v>
      </c>
      <c r="M481" s="31" t="s">
        <v>309</v>
      </c>
      <c r="N481" s="13" t="s">
        <v>2732</v>
      </c>
      <c r="O481" s="31" t="s">
        <v>309</v>
      </c>
      <c r="S481" s="31">
        <v>1</v>
      </c>
      <c r="W481" s="42" t="s">
        <v>2745</v>
      </c>
      <c r="X481" s="42" t="s">
        <v>2701</v>
      </c>
      <c r="Y481" s="42" t="s">
        <v>956</v>
      </c>
      <c r="Z481" s="31" t="s">
        <v>889</v>
      </c>
      <c r="AF481" s="27" t="s">
        <v>179</v>
      </c>
      <c r="AG481" s="42" t="s">
        <v>2702</v>
      </c>
      <c r="AH481" s="42" t="s">
        <v>2699</v>
      </c>
      <c r="AK481" s="42"/>
      <c r="AM481" s="42"/>
      <c r="AN481" s="42"/>
      <c r="AO481" s="42"/>
      <c r="AP481" s="42" t="s">
        <v>2648</v>
      </c>
      <c r="AQ481" s="42">
        <v>1</v>
      </c>
      <c r="AR481" s="42" t="s">
        <v>2745</v>
      </c>
      <c r="AS481" s="42" t="s">
        <v>2701</v>
      </c>
      <c r="AT481" s="42" t="s">
        <v>956</v>
      </c>
      <c r="AU481" s="42" t="s">
        <v>2702</v>
      </c>
    </row>
    <row r="482" spans="1:47" x14ac:dyDescent="0.3">
      <c r="A482" s="31">
        <v>471</v>
      </c>
      <c r="B482" s="42" t="s">
        <v>2747</v>
      </c>
      <c r="C482" s="42" t="s">
        <v>2746</v>
      </c>
      <c r="D482" s="42" t="s">
        <v>1642</v>
      </c>
      <c r="E482" t="s">
        <v>1642</v>
      </c>
      <c r="F482" s="42" t="s">
        <v>1944</v>
      </c>
      <c r="H482" s="42" t="s">
        <v>2746</v>
      </c>
      <c r="I482" s="20">
        <v>863.93442622950818</v>
      </c>
      <c r="J482" s="34">
        <v>0.22</v>
      </c>
      <c r="K482">
        <v>1054</v>
      </c>
      <c r="L482">
        <v>1054</v>
      </c>
      <c r="M482" s="31" t="s">
        <v>309</v>
      </c>
      <c r="N482" s="13" t="s">
        <v>2748</v>
      </c>
      <c r="O482" s="31" t="s">
        <v>309</v>
      </c>
      <c r="S482" s="31">
        <v>1</v>
      </c>
      <c r="W482" s="42" t="s">
        <v>930</v>
      </c>
      <c r="X482" s="42" t="s">
        <v>929</v>
      </c>
      <c r="Y482" s="42" t="s">
        <v>907</v>
      </c>
      <c r="Z482" s="31" t="s">
        <v>889</v>
      </c>
      <c r="AF482" s="27" t="s">
        <v>179</v>
      </c>
      <c r="AG482" s="42" t="s">
        <v>892</v>
      </c>
      <c r="AH482" s="42"/>
      <c r="AK482" s="42"/>
      <c r="AM482" s="42"/>
      <c r="AN482" s="42"/>
      <c r="AO482" s="42"/>
      <c r="AP482" s="42" t="s">
        <v>2648</v>
      </c>
      <c r="AQ482" s="42">
        <v>1</v>
      </c>
      <c r="AR482" s="42" t="s">
        <v>930</v>
      </c>
      <c r="AS482" s="42" t="s">
        <v>929</v>
      </c>
      <c r="AT482" s="42" t="s">
        <v>907</v>
      </c>
      <c r="AU482" s="42" t="s">
        <v>892</v>
      </c>
    </row>
    <row r="483" spans="1:47" x14ac:dyDescent="0.3">
      <c r="A483" s="31">
        <v>472</v>
      </c>
      <c r="B483" s="42" t="s">
        <v>2750</v>
      </c>
      <c r="C483" s="42" t="s">
        <v>2749</v>
      </c>
      <c r="D483" s="42" t="s">
        <v>1647</v>
      </c>
      <c r="E483" t="s">
        <v>1647</v>
      </c>
      <c r="F483" s="42" t="s">
        <v>1944</v>
      </c>
      <c r="H483" s="42" t="s">
        <v>2749</v>
      </c>
      <c r="I483" s="20">
        <v>11034.426229508197</v>
      </c>
      <c r="J483" s="34">
        <v>0.22</v>
      </c>
      <c r="K483">
        <v>13462</v>
      </c>
      <c r="L483">
        <v>13462</v>
      </c>
      <c r="M483" s="31" t="s">
        <v>309</v>
      </c>
      <c r="N483" s="13" t="s">
        <v>2752</v>
      </c>
      <c r="O483" s="31" t="s">
        <v>309</v>
      </c>
      <c r="S483" s="31">
        <v>1</v>
      </c>
      <c r="W483" s="42" t="s">
        <v>2701</v>
      </c>
      <c r="X483" s="42" t="s">
        <v>988</v>
      </c>
      <c r="Y483" s="42" t="s">
        <v>2753</v>
      </c>
      <c r="Z483" s="31" t="s">
        <v>889</v>
      </c>
      <c r="AF483" s="27" t="s">
        <v>179</v>
      </c>
      <c r="AG483" s="42" t="s">
        <v>2754</v>
      </c>
      <c r="AH483" s="42" t="s">
        <v>2751</v>
      </c>
      <c r="AK483" s="42"/>
      <c r="AM483" s="42"/>
      <c r="AN483" s="42"/>
      <c r="AO483" s="42"/>
      <c r="AP483" s="42" t="s">
        <v>2648</v>
      </c>
      <c r="AQ483" s="42">
        <v>1</v>
      </c>
      <c r="AR483" s="42" t="s">
        <v>2701</v>
      </c>
      <c r="AS483" s="42" t="s">
        <v>988</v>
      </c>
      <c r="AT483" s="42" t="s">
        <v>2753</v>
      </c>
      <c r="AU483" s="42" t="s">
        <v>2754</v>
      </c>
    </row>
    <row r="484" spans="1:47" x14ac:dyDescent="0.3">
      <c r="A484" s="31">
        <v>473</v>
      </c>
      <c r="B484" s="42" t="s">
        <v>2756</v>
      </c>
      <c r="C484" s="42" t="s">
        <v>2755</v>
      </c>
      <c r="D484" s="42" t="s">
        <v>1693</v>
      </c>
      <c r="E484" t="s">
        <v>1693</v>
      </c>
      <c r="F484" s="42" t="s">
        <v>1944</v>
      </c>
      <c r="H484" s="42" t="s">
        <v>2755</v>
      </c>
      <c r="I484" s="20">
        <v>92.622950819672127</v>
      </c>
      <c r="J484" s="34">
        <v>0.22</v>
      </c>
      <c r="K484">
        <v>113</v>
      </c>
      <c r="L484">
        <v>113</v>
      </c>
      <c r="M484" s="31" t="s">
        <v>309</v>
      </c>
      <c r="N484" s="13">
        <v>150</v>
      </c>
      <c r="O484" s="31" t="s">
        <v>309</v>
      </c>
      <c r="S484" s="31">
        <v>1</v>
      </c>
      <c r="W484" s="42" t="s">
        <v>921</v>
      </c>
      <c r="X484" s="42" t="s">
        <v>921</v>
      </c>
      <c r="Y484" s="42" t="s">
        <v>938</v>
      </c>
      <c r="Z484" s="31" t="s">
        <v>889</v>
      </c>
      <c r="AF484" s="27" t="s">
        <v>179</v>
      </c>
      <c r="AG484" s="42" t="s">
        <v>2757</v>
      </c>
      <c r="AH484" s="42"/>
      <c r="AK484" s="42"/>
      <c r="AM484" s="42"/>
      <c r="AN484" s="42"/>
      <c r="AO484" s="42"/>
      <c r="AP484" s="42" t="s">
        <v>2648</v>
      </c>
      <c r="AQ484" s="42">
        <v>1</v>
      </c>
      <c r="AR484" s="42" t="s">
        <v>921</v>
      </c>
      <c r="AS484" s="42" t="s">
        <v>921</v>
      </c>
      <c r="AT484" s="42" t="s">
        <v>938</v>
      </c>
      <c r="AU484" s="42" t="s">
        <v>2757</v>
      </c>
    </row>
    <row r="485" spans="1:47" x14ac:dyDescent="0.3">
      <c r="A485" s="31">
        <v>474</v>
      </c>
      <c r="B485" s="42" t="s">
        <v>2759</v>
      </c>
      <c r="C485" s="42" t="s">
        <v>2758</v>
      </c>
      <c r="D485" s="42" t="s">
        <v>1752</v>
      </c>
      <c r="E485" t="s">
        <v>1752</v>
      </c>
      <c r="F485" s="42" t="s">
        <v>1944</v>
      </c>
      <c r="H485" s="42" t="s">
        <v>2758</v>
      </c>
      <c r="I485" s="20">
        <v>608.19672131147547</v>
      </c>
      <c r="J485" s="34">
        <v>0.22</v>
      </c>
      <c r="K485">
        <v>742</v>
      </c>
      <c r="L485">
        <v>742</v>
      </c>
      <c r="M485" s="31" t="s">
        <v>309</v>
      </c>
      <c r="N485" s="13">
        <v>990</v>
      </c>
      <c r="O485" s="31" t="s">
        <v>309</v>
      </c>
      <c r="S485" s="31">
        <v>1</v>
      </c>
      <c r="W485" s="42" t="s">
        <v>912</v>
      </c>
      <c r="X485" s="42" t="s">
        <v>898</v>
      </c>
      <c r="Y485" s="42" t="s">
        <v>929</v>
      </c>
      <c r="Z485" s="31" t="s">
        <v>889</v>
      </c>
      <c r="AF485" s="27" t="s">
        <v>179</v>
      </c>
      <c r="AG485" s="42" t="s">
        <v>2757</v>
      </c>
      <c r="AH485" s="42"/>
      <c r="AK485" s="42"/>
      <c r="AM485" s="42"/>
      <c r="AN485" s="42"/>
      <c r="AO485" s="42"/>
      <c r="AP485" s="42" t="s">
        <v>2648</v>
      </c>
      <c r="AQ485" s="42">
        <v>1</v>
      </c>
      <c r="AR485" s="42" t="s">
        <v>912</v>
      </c>
      <c r="AS485" s="42" t="s">
        <v>898</v>
      </c>
      <c r="AT485" s="42" t="s">
        <v>929</v>
      </c>
      <c r="AU485" s="42" t="s">
        <v>2757</v>
      </c>
    </row>
    <row r="486" spans="1:47" x14ac:dyDescent="0.3">
      <c r="A486" s="31">
        <v>475</v>
      </c>
      <c r="B486" s="44" t="s">
        <v>2762</v>
      </c>
      <c r="C486" s="44" t="s">
        <v>2760</v>
      </c>
      <c r="D486" s="44" t="s">
        <v>2761</v>
      </c>
      <c r="E486" t="s">
        <v>2761</v>
      </c>
      <c r="F486" s="44" t="s">
        <v>1944</v>
      </c>
      <c r="H486" s="44" t="s">
        <v>2760</v>
      </c>
      <c r="I486" s="20">
        <v>117.21311475409836</v>
      </c>
      <c r="J486" s="34">
        <v>0.22</v>
      </c>
      <c r="K486">
        <v>143</v>
      </c>
      <c r="L486">
        <v>143</v>
      </c>
      <c r="M486" s="31" t="s">
        <v>309</v>
      </c>
      <c r="N486" s="13">
        <v>190</v>
      </c>
      <c r="O486" s="31" t="s">
        <v>309</v>
      </c>
      <c r="S486" s="31">
        <v>1</v>
      </c>
      <c r="W486" s="44">
        <v>19</v>
      </c>
      <c r="X486" s="44" t="s">
        <v>895</v>
      </c>
      <c r="Y486" s="44" t="s">
        <v>895</v>
      </c>
      <c r="Z486" s="31" t="s">
        <v>889</v>
      </c>
      <c r="AF486" s="27" t="s">
        <v>179</v>
      </c>
      <c r="AG486" s="44" t="s">
        <v>2757</v>
      </c>
      <c r="AH486" s="44"/>
      <c r="AK486" s="44"/>
      <c r="AM486" s="44"/>
      <c r="AN486" s="44"/>
      <c r="AO486" s="44"/>
      <c r="AP486" s="44" t="s">
        <v>2648</v>
      </c>
      <c r="AQ486" s="44">
        <v>1</v>
      </c>
      <c r="AR486" s="44">
        <v>19</v>
      </c>
      <c r="AS486" s="44" t="s">
        <v>895</v>
      </c>
      <c r="AT486" s="44" t="s">
        <v>895</v>
      </c>
      <c r="AU486" s="44" t="s">
        <v>2757</v>
      </c>
    </row>
    <row r="487" spans="1:47" x14ac:dyDescent="0.3">
      <c r="A487" s="31">
        <v>476</v>
      </c>
      <c r="B487" s="42" t="s">
        <v>2764</v>
      </c>
      <c r="C487" s="42" t="s">
        <v>2763</v>
      </c>
      <c r="D487" s="42" t="s">
        <v>1843</v>
      </c>
      <c r="E487" t="s">
        <v>1843</v>
      </c>
      <c r="F487" s="42" t="s">
        <v>1944</v>
      </c>
      <c r="H487" s="42" t="s">
        <v>2763</v>
      </c>
      <c r="I487" s="20">
        <v>300.81967213114757</v>
      </c>
      <c r="J487" s="34">
        <v>0.22</v>
      </c>
      <c r="K487">
        <v>367</v>
      </c>
      <c r="L487">
        <v>367</v>
      </c>
      <c r="M487" s="31" t="s">
        <v>309</v>
      </c>
      <c r="N487" s="13">
        <v>490</v>
      </c>
      <c r="O487" s="31" t="s">
        <v>309</v>
      </c>
      <c r="S487" s="31">
        <v>1</v>
      </c>
      <c r="W487" s="42" t="s">
        <v>897</v>
      </c>
      <c r="X487" s="42" t="s">
        <v>908</v>
      </c>
      <c r="Y487" s="42" t="s">
        <v>897</v>
      </c>
      <c r="Z487" s="31" t="s">
        <v>889</v>
      </c>
      <c r="AF487" s="27" t="s">
        <v>179</v>
      </c>
      <c r="AG487" s="42" t="s">
        <v>2765</v>
      </c>
      <c r="AH487" s="42"/>
      <c r="AK487" s="42"/>
      <c r="AM487" s="42"/>
      <c r="AN487" s="42"/>
      <c r="AO487" s="42"/>
      <c r="AP487" s="42" t="s">
        <v>2648</v>
      </c>
      <c r="AQ487" s="42">
        <v>1</v>
      </c>
      <c r="AR487" s="42" t="s">
        <v>897</v>
      </c>
      <c r="AS487" s="42" t="s">
        <v>908</v>
      </c>
      <c r="AT487" s="42" t="s">
        <v>897</v>
      </c>
      <c r="AU487" s="42" t="s">
        <v>2765</v>
      </c>
    </row>
    <row r="488" spans="1:47" x14ac:dyDescent="0.3">
      <c r="A488" s="31">
        <v>477</v>
      </c>
      <c r="B488" s="44" t="s">
        <v>2767</v>
      </c>
      <c r="C488" s="44" t="s">
        <v>2766</v>
      </c>
      <c r="D488" s="44" t="s">
        <v>1936</v>
      </c>
      <c r="E488" t="s">
        <v>1936</v>
      </c>
      <c r="F488" s="44" t="s">
        <v>1944</v>
      </c>
      <c r="H488" s="44" t="s">
        <v>2766</v>
      </c>
      <c r="I488" s="20">
        <v>153.27868852459017</v>
      </c>
      <c r="J488" s="34">
        <v>0.22</v>
      </c>
      <c r="K488">
        <v>187</v>
      </c>
      <c r="L488">
        <v>187</v>
      </c>
      <c r="M488" s="31" t="s">
        <v>309</v>
      </c>
      <c r="N488" s="13">
        <v>250</v>
      </c>
      <c r="O488" s="31" t="s">
        <v>309</v>
      </c>
      <c r="S488" s="31">
        <v>1</v>
      </c>
      <c r="W488" s="44">
        <v>59</v>
      </c>
      <c r="X488" s="44" t="s">
        <v>939</v>
      </c>
      <c r="Y488" s="44" t="s">
        <v>939</v>
      </c>
      <c r="Z488" s="31" t="s">
        <v>889</v>
      </c>
      <c r="AF488" s="27" t="s">
        <v>179</v>
      </c>
      <c r="AG488" s="44" t="s">
        <v>2768</v>
      </c>
      <c r="AH488" s="44"/>
      <c r="AK488" s="44"/>
      <c r="AM488" s="44"/>
      <c r="AN488" s="44"/>
      <c r="AO488" s="44"/>
      <c r="AP488" s="44" t="s">
        <v>2648</v>
      </c>
      <c r="AQ488" s="44">
        <v>1</v>
      </c>
      <c r="AR488" s="44">
        <v>59</v>
      </c>
      <c r="AS488" s="44" t="s">
        <v>939</v>
      </c>
      <c r="AT488" s="44" t="s">
        <v>939</v>
      </c>
      <c r="AU488" s="44" t="s">
        <v>2768</v>
      </c>
    </row>
    <row r="489" spans="1:47" x14ac:dyDescent="0.3">
      <c r="A489" s="31">
        <v>478</v>
      </c>
      <c r="B489" s="42" t="s">
        <v>2770</v>
      </c>
      <c r="C489" s="42" t="s">
        <v>2769</v>
      </c>
      <c r="D489" s="42" t="s">
        <v>1742</v>
      </c>
      <c r="E489" t="s">
        <v>1742</v>
      </c>
      <c r="F489" s="42" t="s">
        <v>1944</v>
      </c>
      <c r="H489" s="42" t="s">
        <v>2769</v>
      </c>
      <c r="I489" s="20">
        <v>177.86885245901641</v>
      </c>
      <c r="J489" s="34">
        <v>0.22</v>
      </c>
      <c r="K489">
        <v>217</v>
      </c>
      <c r="L489">
        <v>217</v>
      </c>
      <c r="M489" s="31" t="s">
        <v>309</v>
      </c>
      <c r="N489" s="13">
        <v>290</v>
      </c>
      <c r="O489" s="31" t="s">
        <v>309</v>
      </c>
      <c r="S489" s="31">
        <v>1</v>
      </c>
      <c r="W489" s="42" t="s">
        <v>895</v>
      </c>
      <c r="X489" s="42" t="s">
        <v>895</v>
      </c>
      <c r="Y489" s="42" t="s">
        <v>929</v>
      </c>
      <c r="Z489" s="31" t="s">
        <v>889</v>
      </c>
      <c r="AF489" s="27" t="s">
        <v>179</v>
      </c>
      <c r="AG489" s="42" t="s">
        <v>2771</v>
      </c>
      <c r="AH489" s="42"/>
      <c r="AK489" s="42"/>
      <c r="AM489" s="42"/>
      <c r="AN489" s="42"/>
      <c r="AO489" s="42"/>
      <c r="AP489" s="42" t="s">
        <v>2648</v>
      </c>
      <c r="AQ489" s="42">
        <v>1</v>
      </c>
      <c r="AR489" s="42" t="s">
        <v>895</v>
      </c>
      <c r="AS489" s="42" t="s">
        <v>895</v>
      </c>
      <c r="AT489" s="42" t="s">
        <v>929</v>
      </c>
      <c r="AU489" s="42" t="s">
        <v>2771</v>
      </c>
    </row>
    <row r="490" spans="1:47" x14ac:dyDescent="0.3">
      <c r="A490" s="31">
        <v>479</v>
      </c>
      <c r="B490" s="42" t="s">
        <v>2773</v>
      </c>
      <c r="C490" s="42" t="s">
        <v>2772</v>
      </c>
      <c r="D490" s="42" t="s">
        <v>1641</v>
      </c>
      <c r="E490" t="s">
        <v>1641</v>
      </c>
      <c r="F490" s="42" t="s">
        <v>1944</v>
      </c>
      <c r="H490" s="42" t="s">
        <v>2772</v>
      </c>
      <c r="I490" s="20">
        <v>300.81967213114757</v>
      </c>
      <c r="J490" s="34">
        <v>0.22</v>
      </c>
      <c r="K490">
        <v>367</v>
      </c>
      <c r="L490">
        <v>367</v>
      </c>
      <c r="M490" s="31" t="s">
        <v>309</v>
      </c>
      <c r="N490" s="13">
        <v>490</v>
      </c>
      <c r="O490" s="31" t="s">
        <v>309</v>
      </c>
      <c r="S490" s="31">
        <v>1</v>
      </c>
      <c r="W490" s="42" t="s">
        <v>939</v>
      </c>
      <c r="X490" s="42" t="s">
        <v>908</v>
      </c>
      <c r="Y490" s="42" t="s">
        <v>939</v>
      </c>
      <c r="Z490" s="31" t="s">
        <v>889</v>
      </c>
      <c r="AF490" s="27" t="s">
        <v>179</v>
      </c>
      <c r="AG490" s="42" t="s">
        <v>2765</v>
      </c>
      <c r="AH490" s="42"/>
      <c r="AK490" s="42"/>
      <c r="AM490" s="42"/>
      <c r="AN490" s="42"/>
      <c r="AO490" s="42"/>
      <c r="AP490" s="42" t="s">
        <v>2648</v>
      </c>
      <c r="AQ490" s="42">
        <v>1</v>
      </c>
      <c r="AR490" s="42" t="s">
        <v>939</v>
      </c>
      <c r="AS490" s="42" t="s">
        <v>908</v>
      </c>
      <c r="AT490" s="42" t="s">
        <v>939</v>
      </c>
      <c r="AU490" s="42" t="s">
        <v>2765</v>
      </c>
    </row>
    <row r="491" spans="1:47" x14ac:dyDescent="0.3">
      <c r="A491" s="31">
        <v>480</v>
      </c>
      <c r="B491" s="42" t="s">
        <v>2775</v>
      </c>
      <c r="C491" s="42" t="s">
        <v>2774</v>
      </c>
      <c r="D491" s="42" t="s">
        <v>2305</v>
      </c>
      <c r="E491" t="s">
        <v>2305</v>
      </c>
      <c r="F491" s="42" t="s">
        <v>1944</v>
      </c>
      <c r="H491" s="42" t="s">
        <v>2774</v>
      </c>
      <c r="I491" s="20">
        <v>95.901639344262293</v>
      </c>
      <c r="J491" s="34">
        <v>0.22</v>
      </c>
      <c r="K491">
        <v>117</v>
      </c>
      <c r="L491">
        <v>117</v>
      </c>
      <c r="M491" s="31" t="s">
        <v>309</v>
      </c>
      <c r="N491" s="13" t="s">
        <v>2684</v>
      </c>
      <c r="O491" s="31" t="s">
        <v>309</v>
      </c>
      <c r="S491" s="31">
        <v>1</v>
      </c>
      <c r="W491" s="42" t="s">
        <v>890</v>
      </c>
      <c r="X491" s="42" t="s">
        <v>921</v>
      </c>
      <c r="Y491" s="42" t="s">
        <v>918</v>
      </c>
      <c r="Z491" s="31" t="s">
        <v>889</v>
      </c>
      <c r="AF491" s="27" t="s">
        <v>179</v>
      </c>
      <c r="AG491" s="42" t="s">
        <v>2757</v>
      </c>
      <c r="AH491" s="42" t="s">
        <v>2776</v>
      </c>
      <c r="AK491" s="42"/>
      <c r="AM491" s="42"/>
      <c r="AN491" s="42"/>
      <c r="AO491" s="42"/>
      <c r="AP491" s="42" t="s">
        <v>2648</v>
      </c>
      <c r="AQ491" s="42">
        <v>1</v>
      </c>
      <c r="AR491" s="42" t="s">
        <v>890</v>
      </c>
      <c r="AS491" s="42" t="s">
        <v>921</v>
      </c>
      <c r="AT491" s="42" t="s">
        <v>918</v>
      </c>
      <c r="AU491" s="42" t="s">
        <v>2757</v>
      </c>
    </row>
    <row r="492" spans="1:47" x14ac:dyDescent="0.3">
      <c r="A492" s="31">
        <v>481</v>
      </c>
      <c r="B492" s="42" t="s">
        <v>2778</v>
      </c>
      <c r="C492" s="42" t="s">
        <v>2777</v>
      </c>
      <c r="D492" s="42" t="s">
        <v>1608</v>
      </c>
      <c r="E492" t="s">
        <v>1608</v>
      </c>
      <c r="F492" s="42" t="s">
        <v>1944</v>
      </c>
      <c r="H492" s="42" t="s">
        <v>2777</v>
      </c>
      <c r="I492" s="20">
        <v>212.29508196721312</v>
      </c>
      <c r="J492" s="34">
        <v>0.22</v>
      </c>
      <c r="K492">
        <v>259</v>
      </c>
      <c r="L492">
        <v>259</v>
      </c>
      <c r="M492" s="31" t="s">
        <v>309</v>
      </c>
      <c r="N492" s="13">
        <v>390</v>
      </c>
      <c r="O492" s="31" t="s">
        <v>309</v>
      </c>
      <c r="S492" s="31">
        <v>1</v>
      </c>
      <c r="W492" s="42" t="s">
        <v>954</v>
      </c>
      <c r="X492" s="42" t="s">
        <v>923</v>
      </c>
      <c r="Y492" s="42" t="s">
        <v>907</v>
      </c>
      <c r="Z492" s="31" t="s">
        <v>889</v>
      </c>
      <c r="AF492" s="27" t="s">
        <v>179</v>
      </c>
      <c r="AG492" s="42" t="s">
        <v>2757</v>
      </c>
      <c r="AH492" s="42" t="s">
        <v>2779</v>
      </c>
      <c r="AK492" s="42"/>
      <c r="AM492" s="42"/>
      <c r="AN492" s="42"/>
      <c r="AO492" s="42"/>
      <c r="AP492" s="42" t="s">
        <v>2648</v>
      </c>
      <c r="AQ492" s="42">
        <v>1</v>
      </c>
      <c r="AR492" s="42" t="s">
        <v>954</v>
      </c>
      <c r="AS492" s="42" t="s">
        <v>923</v>
      </c>
      <c r="AT492" s="42" t="s">
        <v>907</v>
      </c>
      <c r="AU492" s="42" t="s">
        <v>2757</v>
      </c>
    </row>
    <row r="493" spans="1:47" x14ac:dyDescent="0.3">
      <c r="A493" s="31">
        <v>482</v>
      </c>
      <c r="B493" s="42" t="s">
        <v>2781</v>
      </c>
      <c r="C493" s="42" t="s">
        <v>2780</v>
      </c>
      <c r="D493" s="42" t="s">
        <v>2230</v>
      </c>
      <c r="E493" t="s">
        <v>2230</v>
      </c>
      <c r="F493" s="42" t="s">
        <v>1944</v>
      </c>
      <c r="H493" s="42" t="s">
        <v>2780</v>
      </c>
      <c r="I493" s="20">
        <v>59.016393442622949</v>
      </c>
      <c r="J493" s="34">
        <v>0.22</v>
      </c>
      <c r="K493">
        <v>72</v>
      </c>
      <c r="L493">
        <v>72</v>
      </c>
      <c r="M493" s="31" t="s">
        <v>309</v>
      </c>
      <c r="N493" s="13" t="s">
        <v>2664</v>
      </c>
      <c r="O493" s="31" t="s">
        <v>309</v>
      </c>
      <c r="S493" s="31">
        <v>1</v>
      </c>
      <c r="W493" s="42" t="s">
        <v>939</v>
      </c>
      <c r="X493" s="42" t="s">
        <v>939</v>
      </c>
      <c r="Y493" s="42" t="s">
        <v>950</v>
      </c>
      <c r="Z493" s="31" t="s">
        <v>889</v>
      </c>
      <c r="AF493" s="27" t="s">
        <v>179</v>
      </c>
      <c r="AG493" s="42" t="s">
        <v>2782</v>
      </c>
      <c r="AH493" s="42"/>
      <c r="AK493" s="42"/>
      <c r="AM493" s="42"/>
      <c r="AN493" s="42"/>
      <c r="AO493" s="42"/>
      <c r="AP493" s="42" t="s">
        <v>2648</v>
      </c>
      <c r="AQ493" s="42">
        <v>1</v>
      </c>
      <c r="AR493" s="42" t="s">
        <v>939</v>
      </c>
      <c r="AS493" s="42" t="s">
        <v>939</v>
      </c>
      <c r="AT493" s="42" t="s">
        <v>950</v>
      </c>
      <c r="AU493" s="42" t="s">
        <v>2782</v>
      </c>
    </row>
    <row r="494" spans="1:47" x14ac:dyDescent="0.3">
      <c r="A494" s="31">
        <v>483</v>
      </c>
      <c r="B494" s="42" t="s">
        <v>2785</v>
      </c>
      <c r="C494" s="42" t="s">
        <v>2783</v>
      </c>
      <c r="D494" s="42" t="s">
        <v>2784</v>
      </c>
      <c r="E494" t="s">
        <v>2784</v>
      </c>
      <c r="F494" s="42" t="s">
        <v>1944</v>
      </c>
      <c r="H494" s="42" t="s">
        <v>2783</v>
      </c>
      <c r="I494" s="20">
        <v>136.0655737704918</v>
      </c>
      <c r="J494" s="34">
        <v>0.22</v>
      </c>
      <c r="K494">
        <v>166</v>
      </c>
      <c r="L494">
        <v>166</v>
      </c>
      <c r="M494" s="31" t="s">
        <v>309</v>
      </c>
      <c r="N494" s="13" t="s">
        <v>2647</v>
      </c>
      <c r="O494" s="31" t="s">
        <v>309</v>
      </c>
      <c r="S494" s="31">
        <v>1</v>
      </c>
      <c r="W494" s="42" t="s">
        <v>914</v>
      </c>
      <c r="X494" s="42" t="s">
        <v>895</v>
      </c>
      <c r="Y494" s="42" t="s">
        <v>914</v>
      </c>
      <c r="Z494" s="31" t="s">
        <v>889</v>
      </c>
      <c r="AF494" s="27" t="s">
        <v>179</v>
      </c>
      <c r="AG494" s="42" t="s">
        <v>2702</v>
      </c>
      <c r="AH494" s="42" t="s">
        <v>2786</v>
      </c>
      <c r="AK494" s="42"/>
      <c r="AM494" s="42"/>
      <c r="AN494" s="42"/>
      <c r="AO494" s="42"/>
      <c r="AP494" s="42" t="s">
        <v>2648</v>
      </c>
      <c r="AQ494" s="42">
        <v>1</v>
      </c>
      <c r="AR494" s="42" t="s">
        <v>914</v>
      </c>
      <c r="AS494" s="42" t="s">
        <v>895</v>
      </c>
      <c r="AT494" s="42" t="s">
        <v>914</v>
      </c>
      <c r="AU494" s="42" t="s">
        <v>2702</v>
      </c>
    </row>
    <row r="495" spans="1:47" x14ac:dyDescent="0.3">
      <c r="A495" s="31">
        <v>484</v>
      </c>
      <c r="B495" s="42" t="s">
        <v>2788</v>
      </c>
      <c r="C495" s="42" t="s">
        <v>2787</v>
      </c>
      <c r="D495" s="42" t="s">
        <v>2064</v>
      </c>
      <c r="E495" t="s">
        <v>2064</v>
      </c>
      <c r="F495" s="42" t="s">
        <v>1944</v>
      </c>
      <c r="H495" s="42" t="s">
        <v>2787</v>
      </c>
      <c r="I495" s="20">
        <v>863.93442622950818</v>
      </c>
      <c r="J495" s="34">
        <v>0.22</v>
      </c>
      <c r="K495">
        <v>1054</v>
      </c>
      <c r="L495">
        <v>1054</v>
      </c>
      <c r="M495" s="31" t="s">
        <v>309</v>
      </c>
      <c r="N495" s="13" t="s">
        <v>2748</v>
      </c>
      <c r="O495" s="31" t="s">
        <v>309</v>
      </c>
      <c r="S495" s="31">
        <v>1</v>
      </c>
      <c r="W495" s="42" t="s">
        <v>925</v>
      </c>
      <c r="X495" s="42" t="s">
        <v>925</v>
      </c>
      <c r="Y495" s="42" t="s">
        <v>921</v>
      </c>
      <c r="Z495" s="31" t="s">
        <v>889</v>
      </c>
      <c r="AF495" s="27" t="s">
        <v>179</v>
      </c>
      <c r="AG495" s="42" t="s">
        <v>2789</v>
      </c>
      <c r="AH495" s="42" t="s">
        <v>2699</v>
      </c>
      <c r="AK495" s="42"/>
      <c r="AM495" s="42"/>
      <c r="AN495" s="42"/>
      <c r="AO495" s="42"/>
      <c r="AP495" s="42" t="s">
        <v>2648</v>
      </c>
      <c r="AQ495" s="42">
        <v>1</v>
      </c>
      <c r="AR495" s="42" t="s">
        <v>925</v>
      </c>
      <c r="AS495" s="42" t="s">
        <v>925</v>
      </c>
      <c r="AT495" s="42" t="s">
        <v>921</v>
      </c>
      <c r="AU495" s="42" t="s">
        <v>2789</v>
      </c>
    </row>
    <row r="496" spans="1:47" x14ac:dyDescent="0.3">
      <c r="A496" s="31">
        <v>485</v>
      </c>
      <c r="B496" s="42" t="s">
        <v>2791</v>
      </c>
      <c r="C496" s="42" t="s">
        <v>2790</v>
      </c>
      <c r="D496" s="42" t="s">
        <v>2086</v>
      </c>
      <c r="E496" t="s">
        <v>2086</v>
      </c>
      <c r="F496" s="42" t="s">
        <v>1944</v>
      </c>
      <c r="H496" s="42" t="s">
        <v>2790</v>
      </c>
      <c r="I496" s="20">
        <v>125.40983606557377</v>
      </c>
      <c r="J496" s="34">
        <v>0.22</v>
      </c>
      <c r="K496">
        <v>153</v>
      </c>
      <c r="L496">
        <v>153</v>
      </c>
      <c r="M496" s="31" t="s">
        <v>309</v>
      </c>
      <c r="N496" s="13" t="s">
        <v>2792</v>
      </c>
      <c r="O496" s="31" t="s">
        <v>309</v>
      </c>
      <c r="S496" s="31">
        <v>1</v>
      </c>
      <c r="W496" s="42" t="s">
        <v>928</v>
      </c>
      <c r="X496" s="42" t="s">
        <v>917</v>
      </c>
      <c r="Y496" s="42" t="s">
        <v>917</v>
      </c>
      <c r="Z496" s="31" t="s">
        <v>889</v>
      </c>
      <c r="AF496" s="27" t="s">
        <v>179</v>
      </c>
      <c r="AG496" s="42" t="s">
        <v>2665</v>
      </c>
      <c r="AH496" s="42"/>
      <c r="AK496" s="42"/>
      <c r="AM496" s="42"/>
      <c r="AN496" s="42"/>
      <c r="AO496" s="42"/>
      <c r="AP496" s="42" t="s">
        <v>2648</v>
      </c>
      <c r="AQ496" s="42">
        <v>1</v>
      </c>
      <c r="AR496" s="42" t="s">
        <v>928</v>
      </c>
      <c r="AS496" s="42" t="s">
        <v>917</v>
      </c>
      <c r="AT496" s="42" t="s">
        <v>917</v>
      </c>
      <c r="AU496" s="42" t="s">
        <v>2665</v>
      </c>
    </row>
    <row r="497" spans="1:47" x14ac:dyDescent="0.3">
      <c r="A497" s="31">
        <v>486</v>
      </c>
      <c r="B497" s="42" t="s">
        <v>2794</v>
      </c>
      <c r="C497" s="42" t="s">
        <v>2793</v>
      </c>
      <c r="D497" s="42" t="s">
        <v>1612</v>
      </c>
      <c r="E497" t="s">
        <v>1612</v>
      </c>
      <c r="F497" s="42" t="s">
        <v>1944</v>
      </c>
      <c r="H497" s="42" t="s">
        <v>2793</v>
      </c>
      <c r="I497" s="20">
        <v>1454.9180327868853</v>
      </c>
      <c r="J497" s="34">
        <v>0.22</v>
      </c>
      <c r="K497">
        <v>1775</v>
      </c>
      <c r="L497">
        <v>1775</v>
      </c>
      <c r="M497" s="31" t="s">
        <v>309</v>
      </c>
      <c r="N497" s="13" t="s">
        <v>2796</v>
      </c>
      <c r="O497" s="31" t="s">
        <v>309</v>
      </c>
      <c r="S497" s="31">
        <v>1</v>
      </c>
      <c r="W497" s="42" t="s">
        <v>897</v>
      </c>
      <c r="X497" s="42" t="s">
        <v>2797</v>
      </c>
      <c r="Y497" s="42" t="s">
        <v>2798</v>
      </c>
      <c r="Z497" s="31" t="s">
        <v>889</v>
      </c>
      <c r="AF497" s="27" t="s">
        <v>179</v>
      </c>
      <c r="AG497" s="42" t="s">
        <v>2799</v>
      </c>
      <c r="AH497" s="42" t="s">
        <v>2795</v>
      </c>
      <c r="AK497" s="42"/>
      <c r="AM497" s="42"/>
      <c r="AN497" s="42"/>
      <c r="AO497" s="42"/>
      <c r="AP497" s="42" t="s">
        <v>2648</v>
      </c>
      <c r="AQ497" s="42">
        <v>1</v>
      </c>
      <c r="AR497" s="42" t="s">
        <v>897</v>
      </c>
      <c r="AS497" s="42" t="s">
        <v>2797</v>
      </c>
      <c r="AT497" s="42" t="s">
        <v>2798</v>
      </c>
      <c r="AU497" s="42" t="s">
        <v>2799</v>
      </c>
    </row>
    <row r="498" spans="1:47" ht="28.8" x14ac:dyDescent="0.3">
      <c r="A498" s="31">
        <v>487</v>
      </c>
      <c r="B498" s="42" t="s">
        <v>2801</v>
      </c>
      <c r="C498" s="42" t="s">
        <v>2800</v>
      </c>
      <c r="D498" s="42" t="s">
        <v>1583</v>
      </c>
      <c r="E498" t="s">
        <v>1583</v>
      </c>
      <c r="F498" s="42" t="s">
        <v>1944</v>
      </c>
      <c r="H498" s="42" t="s">
        <v>2800</v>
      </c>
      <c r="I498" s="20">
        <v>124.59016393442623</v>
      </c>
      <c r="J498" s="34">
        <v>0.22</v>
      </c>
      <c r="K498">
        <v>152</v>
      </c>
      <c r="L498">
        <v>152</v>
      </c>
      <c r="M498" s="31" t="s">
        <v>309</v>
      </c>
      <c r="N498" s="13">
        <v>230</v>
      </c>
      <c r="O498" s="31" t="s">
        <v>309</v>
      </c>
      <c r="S498" s="31">
        <v>1</v>
      </c>
      <c r="W498" s="42" t="s">
        <v>922</v>
      </c>
      <c r="X498" s="42" t="s">
        <v>930</v>
      </c>
      <c r="Y498" s="42" t="s">
        <v>2802</v>
      </c>
      <c r="Z498" s="31" t="s">
        <v>889</v>
      </c>
      <c r="AF498" s="27" t="s">
        <v>179</v>
      </c>
      <c r="AG498" s="42" t="s">
        <v>2782</v>
      </c>
      <c r="AH498" s="42" t="s">
        <v>2776</v>
      </c>
      <c r="AK498" s="42"/>
      <c r="AM498" s="42"/>
      <c r="AN498" s="42"/>
      <c r="AO498" s="42"/>
      <c r="AP498" s="42" t="s">
        <v>2648</v>
      </c>
      <c r="AQ498" s="42">
        <v>1</v>
      </c>
      <c r="AR498" s="42" t="s">
        <v>922</v>
      </c>
      <c r="AS498" s="42" t="s">
        <v>930</v>
      </c>
      <c r="AT498" s="42" t="s">
        <v>2802</v>
      </c>
      <c r="AU498" s="42" t="s">
        <v>2782</v>
      </c>
    </row>
    <row r="499" spans="1:47" x14ac:dyDescent="0.3">
      <c r="A499" s="31">
        <v>488</v>
      </c>
      <c r="B499" s="42" t="s">
        <v>2804</v>
      </c>
      <c r="C499" s="42" t="s">
        <v>2803</v>
      </c>
      <c r="D499" s="42" t="s">
        <v>2092</v>
      </c>
      <c r="E499" t="s">
        <v>2092</v>
      </c>
      <c r="F499" s="42" t="s">
        <v>1944</v>
      </c>
      <c r="H499" s="42" t="s">
        <v>2803</v>
      </c>
      <c r="I499" s="20">
        <v>98.360655737704917</v>
      </c>
      <c r="J499" s="34">
        <v>0.22</v>
      </c>
      <c r="K499">
        <v>120</v>
      </c>
      <c r="L499">
        <v>120</v>
      </c>
      <c r="M499" s="31" t="s">
        <v>309</v>
      </c>
      <c r="N499" s="13" t="s">
        <v>2792</v>
      </c>
      <c r="O499" s="31" t="s">
        <v>309</v>
      </c>
      <c r="S499" s="31">
        <v>1</v>
      </c>
      <c r="W499" s="42" t="s">
        <v>914</v>
      </c>
      <c r="X499" s="42" t="s">
        <v>895</v>
      </c>
      <c r="Y499" s="42" t="s">
        <v>914</v>
      </c>
      <c r="Z499" s="31" t="s">
        <v>889</v>
      </c>
      <c r="AF499" s="27" t="s">
        <v>179</v>
      </c>
      <c r="AG499" s="42" t="s">
        <v>2702</v>
      </c>
      <c r="AH499" s="42" t="s">
        <v>2776</v>
      </c>
      <c r="AK499" s="42"/>
      <c r="AM499" s="42"/>
      <c r="AN499" s="42"/>
      <c r="AO499" s="42"/>
      <c r="AP499" s="42" t="s">
        <v>2648</v>
      </c>
      <c r="AQ499" s="42">
        <v>1</v>
      </c>
      <c r="AR499" s="42" t="s">
        <v>914</v>
      </c>
      <c r="AS499" s="42" t="s">
        <v>895</v>
      </c>
      <c r="AT499" s="42" t="s">
        <v>914</v>
      </c>
      <c r="AU499" s="42" t="s">
        <v>2702</v>
      </c>
    </row>
    <row r="500" spans="1:47" x14ac:dyDescent="0.3">
      <c r="A500" s="31">
        <v>489</v>
      </c>
      <c r="B500" s="42" t="s">
        <v>2806</v>
      </c>
      <c r="C500" s="42" t="s">
        <v>2805</v>
      </c>
      <c r="D500" s="42" t="s">
        <v>2221</v>
      </c>
      <c r="E500" t="s">
        <v>2221</v>
      </c>
      <c r="F500" s="42" t="s">
        <v>1944</v>
      </c>
      <c r="H500" s="42" t="s">
        <v>2805</v>
      </c>
      <c r="I500" s="20">
        <v>537.70491803278685</v>
      </c>
      <c r="J500" s="34">
        <v>0.22</v>
      </c>
      <c r="K500">
        <v>656</v>
      </c>
      <c r="L500">
        <v>656</v>
      </c>
      <c r="M500" s="31" t="s">
        <v>309</v>
      </c>
      <c r="N500" s="13" t="s">
        <v>2807</v>
      </c>
      <c r="O500" s="31" t="s">
        <v>309</v>
      </c>
      <c r="S500" s="31">
        <v>1</v>
      </c>
      <c r="W500" s="42" t="s">
        <v>939</v>
      </c>
      <c r="X500" s="42" t="s">
        <v>2802</v>
      </c>
      <c r="Y500" s="42" t="s">
        <v>2802</v>
      </c>
      <c r="Z500" s="31" t="s">
        <v>889</v>
      </c>
      <c r="AF500" s="27" t="s">
        <v>179</v>
      </c>
      <c r="AG500" s="42" t="s">
        <v>2757</v>
      </c>
      <c r="AH500" s="42"/>
      <c r="AK500" s="42"/>
      <c r="AM500" s="42"/>
      <c r="AN500" s="42"/>
      <c r="AO500" s="42"/>
      <c r="AP500" s="42" t="s">
        <v>2648</v>
      </c>
      <c r="AQ500" s="42">
        <v>1</v>
      </c>
      <c r="AR500" s="42" t="s">
        <v>939</v>
      </c>
      <c r="AS500" s="42" t="s">
        <v>2802</v>
      </c>
      <c r="AT500" s="42" t="s">
        <v>2802</v>
      </c>
      <c r="AU500" s="42" t="s">
        <v>2757</v>
      </c>
    </row>
    <row r="501" spans="1:47" x14ac:dyDescent="0.3">
      <c r="A501" s="31">
        <v>490</v>
      </c>
      <c r="B501" s="42" t="s">
        <v>2809</v>
      </c>
      <c r="C501" s="42" t="s">
        <v>2808</v>
      </c>
      <c r="D501" s="42" t="s">
        <v>1582</v>
      </c>
      <c r="E501" t="s">
        <v>1582</v>
      </c>
      <c r="F501" s="42" t="s">
        <v>1944</v>
      </c>
      <c r="H501" s="42" t="s">
        <v>2808</v>
      </c>
      <c r="I501" s="20">
        <v>27.868852459016395</v>
      </c>
      <c r="J501" s="34">
        <v>0.22</v>
      </c>
      <c r="K501">
        <v>34</v>
      </c>
      <c r="L501">
        <v>34</v>
      </c>
      <c r="M501" s="31" t="s">
        <v>309</v>
      </c>
      <c r="N501" s="13">
        <v>50</v>
      </c>
      <c r="O501" s="31" t="s">
        <v>309</v>
      </c>
      <c r="S501" s="31">
        <v>1</v>
      </c>
      <c r="W501" s="42" t="s">
        <v>921</v>
      </c>
      <c r="X501" s="42" t="s">
        <v>930</v>
      </c>
      <c r="Y501" s="42" t="s">
        <v>914</v>
      </c>
      <c r="Z501" s="31" t="s">
        <v>889</v>
      </c>
      <c r="AF501" s="27" t="s">
        <v>179</v>
      </c>
      <c r="AG501" s="42" t="s">
        <v>2782</v>
      </c>
      <c r="AH501" s="42" t="s">
        <v>2810</v>
      </c>
      <c r="AK501" s="42"/>
      <c r="AM501" s="42"/>
      <c r="AN501" s="42"/>
      <c r="AO501" s="42"/>
      <c r="AP501" s="42" t="s">
        <v>2648</v>
      </c>
      <c r="AQ501" s="42">
        <v>1</v>
      </c>
      <c r="AR501" s="42" t="s">
        <v>921</v>
      </c>
      <c r="AS501" s="42" t="s">
        <v>930</v>
      </c>
      <c r="AT501" s="42" t="s">
        <v>914</v>
      </c>
      <c r="AU501" s="42" t="s">
        <v>2782</v>
      </c>
    </row>
    <row r="502" spans="1:47" x14ac:dyDescent="0.3">
      <c r="A502" s="31">
        <v>491</v>
      </c>
      <c r="B502" s="42" t="s">
        <v>2813</v>
      </c>
      <c r="C502" s="42" t="s">
        <v>2811</v>
      </c>
      <c r="D502" s="42" t="s">
        <v>2812</v>
      </c>
      <c r="E502" t="s">
        <v>2812</v>
      </c>
      <c r="F502" s="42" t="s">
        <v>1944</v>
      </c>
      <c r="H502" s="42" t="s">
        <v>2811</v>
      </c>
      <c r="I502" s="20">
        <v>158.19672131147541</v>
      </c>
      <c r="J502" s="34">
        <v>0.22</v>
      </c>
      <c r="K502">
        <v>193</v>
      </c>
      <c r="L502">
        <v>193</v>
      </c>
      <c r="M502" s="31" t="s">
        <v>309</v>
      </c>
      <c r="N502" s="13" t="s">
        <v>2695</v>
      </c>
      <c r="O502" s="31" t="s">
        <v>309</v>
      </c>
      <c r="S502" s="31">
        <v>1</v>
      </c>
      <c r="W502" s="42" t="s">
        <v>2815</v>
      </c>
      <c r="X502" s="42" t="s">
        <v>2816</v>
      </c>
      <c r="Y502" s="42" t="s">
        <v>2815</v>
      </c>
      <c r="Z502" s="31" t="s">
        <v>889</v>
      </c>
      <c r="AF502" s="27" t="s">
        <v>179</v>
      </c>
      <c r="AG502" s="42" t="s">
        <v>2702</v>
      </c>
      <c r="AH502" s="42" t="s">
        <v>2814</v>
      </c>
      <c r="AK502" s="42"/>
      <c r="AM502" s="42"/>
      <c r="AN502" s="42"/>
      <c r="AO502" s="42"/>
      <c r="AP502" s="42" t="s">
        <v>2648</v>
      </c>
      <c r="AQ502" s="42">
        <v>1</v>
      </c>
      <c r="AR502" s="42" t="s">
        <v>2815</v>
      </c>
      <c r="AS502" s="42" t="s">
        <v>2816</v>
      </c>
      <c r="AT502" s="42" t="s">
        <v>2815</v>
      </c>
      <c r="AU502" s="42" t="s">
        <v>2702</v>
      </c>
    </row>
    <row r="503" spans="1:47" x14ac:dyDescent="0.3">
      <c r="A503" s="31">
        <v>492</v>
      </c>
      <c r="B503" s="42" t="s">
        <v>2818</v>
      </c>
      <c r="C503" s="42" t="s">
        <v>2817</v>
      </c>
      <c r="D503" s="42" t="s">
        <v>1566</v>
      </c>
      <c r="E503" t="s">
        <v>1566</v>
      </c>
      <c r="F503" s="42" t="s">
        <v>1944</v>
      </c>
      <c r="H503" s="42" t="s">
        <v>2817</v>
      </c>
      <c r="I503" s="20">
        <v>22.131147540983608</v>
      </c>
      <c r="J503" s="34">
        <v>0.22</v>
      </c>
      <c r="K503">
        <v>27</v>
      </c>
      <c r="L503">
        <v>27</v>
      </c>
      <c r="M503" s="31" t="s">
        <v>309</v>
      </c>
      <c r="N503" s="13" t="s">
        <v>2819</v>
      </c>
      <c r="O503" s="31" t="s">
        <v>309</v>
      </c>
      <c r="S503" s="31">
        <v>1</v>
      </c>
      <c r="W503" s="42" t="s">
        <v>950</v>
      </c>
      <c r="X503" s="42" t="s">
        <v>915</v>
      </c>
      <c r="Y503" s="42" t="s">
        <v>908</v>
      </c>
      <c r="Z503" s="31" t="s">
        <v>889</v>
      </c>
      <c r="AF503" s="27" t="s">
        <v>179</v>
      </c>
      <c r="AG503" s="42" t="s">
        <v>2820</v>
      </c>
      <c r="AH503" s="42"/>
      <c r="AK503" s="42"/>
      <c r="AM503" s="42"/>
      <c r="AN503" s="42"/>
      <c r="AO503" s="42"/>
      <c r="AP503" s="42" t="s">
        <v>2648</v>
      </c>
      <c r="AQ503" s="42">
        <v>1</v>
      </c>
      <c r="AR503" s="42" t="s">
        <v>950</v>
      </c>
      <c r="AS503" s="42" t="s">
        <v>915</v>
      </c>
      <c r="AT503" s="42" t="s">
        <v>908</v>
      </c>
      <c r="AU503" s="42" t="s">
        <v>2820</v>
      </c>
    </row>
    <row r="504" spans="1:47" x14ac:dyDescent="0.3">
      <c r="A504" s="31">
        <v>493</v>
      </c>
      <c r="B504" s="42" t="s">
        <v>2822</v>
      </c>
      <c r="C504" s="42" t="s">
        <v>2821</v>
      </c>
      <c r="D504" s="42" t="s">
        <v>2249</v>
      </c>
      <c r="E504" t="s">
        <v>2249</v>
      </c>
      <c r="F504" s="42" t="s">
        <v>1944</v>
      </c>
      <c r="H504" s="42" t="s">
        <v>2821</v>
      </c>
      <c r="I504" s="20">
        <v>66.393442622950815</v>
      </c>
      <c r="J504" s="34">
        <v>0.22</v>
      </c>
      <c r="K504">
        <v>81</v>
      </c>
      <c r="L504">
        <v>81</v>
      </c>
      <c r="M504" s="31" t="s">
        <v>309</v>
      </c>
      <c r="N504" s="13" t="s">
        <v>2823</v>
      </c>
      <c r="O504" s="31" t="s">
        <v>309</v>
      </c>
      <c r="S504" s="31">
        <v>1</v>
      </c>
      <c r="W504" s="42" t="s">
        <v>893</v>
      </c>
      <c r="X504" s="42" t="s">
        <v>895</v>
      </c>
      <c r="Y504" s="42" t="s">
        <v>909</v>
      </c>
      <c r="Z504" s="31" t="s">
        <v>889</v>
      </c>
      <c r="AF504" s="27" t="s">
        <v>179</v>
      </c>
      <c r="AG504" s="42" t="s">
        <v>2757</v>
      </c>
      <c r="AH504" s="42" t="s">
        <v>2786</v>
      </c>
      <c r="AK504" s="42"/>
      <c r="AM504" s="42"/>
      <c r="AN504" s="42"/>
      <c r="AO504" s="42"/>
      <c r="AP504" s="42" t="s">
        <v>2648</v>
      </c>
      <c r="AQ504" s="42">
        <v>1</v>
      </c>
      <c r="AR504" s="42" t="s">
        <v>893</v>
      </c>
      <c r="AS504" s="42" t="s">
        <v>895</v>
      </c>
      <c r="AT504" s="42" t="s">
        <v>909</v>
      </c>
      <c r="AU504" s="42" t="s">
        <v>2757</v>
      </c>
    </row>
    <row r="505" spans="1:47" x14ac:dyDescent="0.3">
      <c r="A505" s="31">
        <v>494</v>
      </c>
      <c r="B505" s="13">
        <v>4673746975077</v>
      </c>
      <c r="C505" t="s">
        <v>2824</v>
      </c>
      <c r="D505" t="s">
        <v>1645</v>
      </c>
      <c r="E505" t="s">
        <v>1645</v>
      </c>
      <c r="F505" s="42" t="s">
        <v>1944</v>
      </c>
      <c r="H505" t="s">
        <v>2824</v>
      </c>
      <c r="I505" s="20">
        <v>1894.0327868852457</v>
      </c>
      <c r="J505" s="54">
        <v>0.22</v>
      </c>
      <c r="K505" s="13">
        <v>2310.7199999999998</v>
      </c>
      <c r="L505" s="13">
        <v>2310.7199999999998</v>
      </c>
      <c r="M505" s="31" t="s">
        <v>309</v>
      </c>
      <c r="N505" s="13">
        <v>2590</v>
      </c>
      <c r="O505" s="31" t="s">
        <v>309</v>
      </c>
      <c r="S505" s="31">
        <v>1</v>
      </c>
      <c r="W505" s="13">
        <v>220</v>
      </c>
      <c r="X505" s="13">
        <v>245</v>
      </c>
      <c r="Y505" s="13">
        <v>80</v>
      </c>
    </row>
  </sheetData>
  <mergeCells count="16">
    <mergeCell ref="AI12:AI13"/>
    <mergeCell ref="T12:U12"/>
    <mergeCell ref="A10:B10"/>
    <mergeCell ref="F10:G10"/>
    <mergeCell ref="A1:B1"/>
    <mergeCell ref="A2:B2"/>
    <mergeCell ref="A3:B3"/>
    <mergeCell ref="A4:B4"/>
    <mergeCell ref="A5:B5"/>
    <mergeCell ref="C5:E5"/>
    <mergeCell ref="A6:B6"/>
    <mergeCell ref="C6:E6"/>
    <mergeCell ref="F8:G8"/>
    <mergeCell ref="A9:B9"/>
    <mergeCell ref="F9:G9"/>
    <mergeCell ref="G5:I5"/>
  </mergeCells>
  <phoneticPr fontId="12" type="noConversion"/>
  <dataValidations count="6">
    <dataValidation type="list" allowBlank="1" showInputMessage="1" showErrorMessage="1" sqref="C3" xr:uid="{00000000-0002-0000-0000-000003000000}">
      <formula1>"Основной,Акционный"</formula1>
    </dataValidation>
    <dataValidation type="list" allowBlank="1" showInputMessage="1" showErrorMessage="1" sqref="AD13" xr:uid="{00000000-0002-0000-0000-000004000000}">
      <formula1>"Да,Нет"</formula1>
    </dataValidation>
    <dataValidation type="list" allowBlank="1" showInputMessage="1" showErrorMessage="1" sqref="Z13:Z301" xr:uid="{00000000-0002-0000-0000-000000000000}">
      <formula1>"мм,см,м"</formula1>
    </dataValidation>
    <dataValidation type="list" allowBlank="1" showInputMessage="1" showErrorMessage="1" sqref="O13:O301 Q13:Q301 M13:M301" xr:uid="{00000000-0002-0000-0000-000001000000}">
      <formula1>"₽,$,€"</formula1>
    </dataValidation>
    <dataValidation type="list" allowBlank="1" showInputMessage="1" showErrorMessage="1" sqref="R13:R301" xr:uid="{00000000-0002-0000-0000-000002000000}">
      <formula1>"шт,г,кг,т,л,м3,мм,см,м,упак,боб"</formula1>
    </dataValidation>
    <dataValidation type="list" allowBlank="1" showInputMessage="1" showErrorMessage="1" sqref="AP458:AP468" xr:uid="{6F2BB032-65BE-46FD-BAC9-7E79DDEAEF8E}">
      <formula1>"Штука,Упаковка,Бобина"</formula1>
      <formula2>0</formula2>
    </dataValidation>
  </dataValidations>
  <pageMargins left="0.25" right="0.25" top="0.75" bottom="0.75" header="0.3" footer="0.3"/>
  <pageSetup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5000000}">
          <x14:formula1>
            <xm:f>'Единицы измерения'!$A$2:$A$5</xm:f>
          </x14:formula1>
          <xm:sqref>U13:U301</xm:sqref>
        </x14:dataValidation>
        <x14:dataValidation type="list" allowBlank="1" showInputMessage="1" showErrorMessage="1" xr:uid="{00000000-0002-0000-0000-000006000000}">
          <x14:formula1>
            <xm:f>Страны!$A$2:$A$252</xm:f>
          </x14:formula1>
          <xm:sqref>AF13:AF504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>
      <selection activeCell="C11" sqref="C11"/>
    </sheetView>
  </sheetViews>
  <sheetFormatPr defaultRowHeight="14.4" x14ac:dyDescent="0.3"/>
  <cols>
    <col min="1" max="1" width="4.44140625" bestFit="1" customWidth="1"/>
    <col min="2" max="3" width="33.44140625" bestFit="1" customWidth="1"/>
    <col min="4" max="4" width="23.5546875" bestFit="1" customWidth="1"/>
    <col min="5" max="6" width="30.77734375" bestFit="1" customWidth="1"/>
  </cols>
  <sheetData>
    <row r="1" spans="1:12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53" t="s">
        <v>7</v>
      </c>
      <c r="I1" s="53" t="s">
        <v>6</v>
      </c>
      <c r="J1" s="53" t="s">
        <v>6</v>
      </c>
      <c r="K1" s="53" t="s">
        <v>6</v>
      </c>
      <c r="L1" s="53" t="s">
        <v>6</v>
      </c>
    </row>
    <row r="2" spans="1:12" x14ac:dyDescent="0.3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</row>
    <row r="3" spans="1:12" x14ac:dyDescent="0.3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</row>
    <row r="4" spans="1:12" x14ac:dyDescent="0.3">
      <c r="A4" t="s">
        <v>6</v>
      </c>
      <c r="B4" t="s">
        <v>6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</row>
    <row r="5" spans="1:12" x14ac:dyDescent="0.3">
      <c r="A5" t="s">
        <v>6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</row>
    <row r="6" spans="1:12" x14ac:dyDescent="0.3">
      <c r="A6" t="s">
        <v>6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</row>
    <row r="7" spans="1:12" x14ac:dyDescent="0.3">
      <c r="A7" t="s">
        <v>6</v>
      </c>
      <c r="B7" t="s">
        <v>6</v>
      </c>
      <c r="C7" t="s">
        <v>6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</row>
    <row r="8" spans="1:12" x14ac:dyDescent="0.3">
      <c r="A8" t="s">
        <v>6</v>
      </c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</row>
    <row r="9" spans="1:12" x14ac:dyDescent="0.3">
      <c r="A9" t="s">
        <v>6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</row>
    <row r="10" spans="1:12" x14ac:dyDescent="0.3">
      <c r="A10" t="s">
        <v>6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</row>
    <row r="11" spans="1:12" x14ac:dyDescent="0.3">
      <c r="A11" t="s">
        <v>6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</row>
    <row r="12" spans="1:12" x14ac:dyDescent="0.3">
      <c r="A12" t="s">
        <v>6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</row>
    <row r="13" spans="1:12" x14ac:dyDescent="0.3">
      <c r="A13" t="s">
        <v>6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</row>
    <row r="14" spans="1:12" x14ac:dyDescent="0.3">
      <c r="A14" t="s">
        <v>6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</row>
    <row r="15" spans="1:12" x14ac:dyDescent="0.3">
      <c r="A15" t="s">
        <v>6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</row>
    <row r="16" spans="1:12" x14ac:dyDescent="0.3">
      <c r="A16" t="s">
        <v>6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</row>
    <row r="17" spans="1:12" x14ac:dyDescent="0.3">
      <c r="A17" t="s">
        <v>6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</row>
    <row r="18" spans="1:12" x14ac:dyDescent="0.3">
      <c r="A18" t="s">
        <v>6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</row>
    <row r="19" spans="1:12" x14ac:dyDescent="0.3">
      <c r="A19" t="s">
        <v>6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</row>
  </sheetData>
  <mergeCells count="1">
    <mergeCell ref="H1:L1"/>
  </mergeCells>
  <pageMargins left="0.25" right="0.25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5"/>
  <sheetViews>
    <sheetView topLeftCell="A235" workbookViewId="0"/>
  </sheetViews>
  <sheetFormatPr defaultRowHeight="14.4" x14ac:dyDescent="0.3"/>
  <cols>
    <col min="1" max="1" width="63.77734375" bestFit="1" customWidth="1"/>
  </cols>
  <sheetData>
    <row r="1" spans="1:2" x14ac:dyDescent="0.3">
      <c r="A1" s="2" t="s">
        <v>8</v>
      </c>
      <c r="B1" t="s">
        <v>6</v>
      </c>
    </row>
    <row r="2" spans="1:2" x14ac:dyDescent="0.3">
      <c r="A2" t="s">
        <v>9</v>
      </c>
      <c r="B2" t="s">
        <v>6</v>
      </c>
    </row>
    <row r="3" spans="1:2" x14ac:dyDescent="0.3">
      <c r="A3" t="s">
        <v>10</v>
      </c>
      <c r="B3" t="s">
        <v>6</v>
      </c>
    </row>
    <row r="4" spans="1:2" x14ac:dyDescent="0.3">
      <c r="A4" t="s">
        <v>11</v>
      </c>
      <c r="B4" t="s">
        <v>6</v>
      </c>
    </row>
    <row r="5" spans="1:2" x14ac:dyDescent="0.3">
      <c r="A5" t="s">
        <v>12</v>
      </c>
      <c r="B5" t="s">
        <v>6</v>
      </c>
    </row>
    <row r="6" spans="1:2" x14ac:dyDescent="0.3">
      <c r="A6" t="s">
        <v>13</v>
      </c>
      <c r="B6" t="s">
        <v>6</v>
      </c>
    </row>
    <row r="7" spans="1:2" x14ac:dyDescent="0.3">
      <c r="A7" t="s">
        <v>14</v>
      </c>
      <c r="B7" t="s">
        <v>6</v>
      </c>
    </row>
    <row r="8" spans="1:2" x14ac:dyDescent="0.3">
      <c r="A8" t="s">
        <v>15</v>
      </c>
      <c r="B8" t="s">
        <v>6</v>
      </c>
    </row>
    <row r="9" spans="1:2" x14ac:dyDescent="0.3">
      <c r="A9" t="s">
        <v>16</v>
      </c>
      <c r="B9" t="s">
        <v>6</v>
      </c>
    </row>
    <row r="10" spans="1:2" x14ac:dyDescent="0.3">
      <c r="A10" t="s">
        <v>17</v>
      </c>
      <c r="B10" t="s">
        <v>6</v>
      </c>
    </row>
    <row r="11" spans="1:2" x14ac:dyDescent="0.3">
      <c r="A11" t="s">
        <v>18</v>
      </c>
      <c r="B11" t="s">
        <v>6</v>
      </c>
    </row>
    <row r="12" spans="1:2" x14ac:dyDescent="0.3">
      <c r="A12" t="s">
        <v>19</v>
      </c>
      <c r="B12" t="s">
        <v>6</v>
      </c>
    </row>
    <row r="13" spans="1:2" x14ac:dyDescent="0.3">
      <c r="A13" t="s">
        <v>20</v>
      </c>
      <c r="B13" t="s">
        <v>6</v>
      </c>
    </row>
    <row r="14" spans="1:2" x14ac:dyDescent="0.3">
      <c r="A14" t="s">
        <v>21</v>
      </c>
      <c r="B14" t="s">
        <v>6</v>
      </c>
    </row>
    <row r="15" spans="1:2" x14ac:dyDescent="0.3">
      <c r="A15" t="s">
        <v>22</v>
      </c>
      <c r="B15" t="s">
        <v>6</v>
      </c>
    </row>
    <row r="16" spans="1:2" x14ac:dyDescent="0.3">
      <c r="A16" t="s">
        <v>23</v>
      </c>
      <c r="B16" t="s">
        <v>6</v>
      </c>
    </row>
    <row r="17" spans="1:2" x14ac:dyDescent="0.3">
      <c r="A17" t="s">
        <v>24</v>
      </c>
      <c r="B17" t="s">
        <v>6</v>
      </c>
    </row>
    <row r="18" spans="1:2" x14ac:dyDescent="0.3">
      <c r="A18" t="s">
        <v>25</v>
      </c>
      <c r="B18" t="s">
        <v>6</v>
      </c>
    </row>
    <row r="19" spans="1:2" x14ac:dyDescent="0.3">
      <c r="A19" t="s">
        <v>26</v>
      </c>
      <c r="B19" t="s">
        <v>6</v>
      </c>
    </row>
    <row r="20" spans="1:2" x14ac:dyDescent="0.3">
      <c r="A20" t="s">
        <v>27</v>
      </c>
      <c r="B20" t="s">
        <v>6</v>
      </c>
    </row>
    <row r="21" spans="1:2" x14ac:dyDescent="0.3">
      <c r="A21" t="s">
        <v>28</v>
      </c>
      <c r="B21" t="s">
        <v>6</v>
      </c>
    </row>
    <row r="22" spans="1:2" x14ac:dyDescent="0.3">
      <c r="A22" t="s">
        <v>29</v>
      </c>
      <c r="B22" t="s">
        <v>6</v>
      </c>
    </row>
    <row r="23" spans="1:2" x14ac:dyDescent="0.3">
      <c r="A23" t="s">
        <v>30</v>
      </c>
      <c r="B23" t="s">
        <v>6</v>
      </c>
    </row>
    <row r="24" spans="1:2" x14ac:dyDescent="0.3">
      <c r="A24" t="s">
        <v>31</v>
      </c>
      <c r="B24" t="s">
        <v>6</v>
      </c>
    </row>
    <row r="25" spans="1:2" x14ac:dyDescent="0.3">
      <c r="A25" t="s">
        <v>32</v>
      </c>
      <c r="B25" t="s">
        <v>6</v>
      </c>
    </row>
    <row r="26" spans="1:2" x14ac:dyDescent="0.3">
      <c r="A26" t="s">
        <v>33</v>
      </c>
      <c r="B26" t="s">
        <v>6</v>
      </c>
    </row>
    <row r="27" spans="1:2" x14ac:dyDescent="0.3">
      <c r="A27" t="s">
        <v>34</v>
      </c>
      <c r="B27" t="s">
        <v>6</v>
      </c>
    </row>
    <row r="28" spans="1:2" x14ac:dyDescent="0.3">
      <c r="A28" t="s">
        <v>35</v>
      </c>
      <c r="B28" t="s">
        <v>6</v>
      </c>
    </row>
    <row r="29" spans="1:2" x14ac:dyDescent="0.3">
      <c r="A29" t="s">
        <v>36</v>
      </c>
      <c r="B29" t="s">
        <v>6</v>
      </c>
    </row>
    <row r="30" spans="1:2" x14ac:dyDescent="0.3">
      <c r="A30" t="s">
        <v>37</v>
      </c>
      <c r="B30" t="s">
        <v>6</v>
      </c>
    </row>
    <row r="31" spans="1:2" x14ac:dyDescent="0.3">
      <c r="A31" t="s">
        <v>38</v>
      </c>
      <c r="B31" t="s">
        <v>6</v>
      </c>
    </row>
    <row r="32" spans="1:2" x14ac:dyDescent="0.3">
      <c r="A32" t="s">
        <v>39</v>
      </c>
      <c r="B32" t="s">
        <v>6</v>
      </c>
    </row>
    <row r="33" spans="1:2" x14ac:dyDescent="0.3">
      <c r="A33" t="s">
        <v>40</v>
      </c>
      <c r="B33" t="s">
        <v>6</v>
      </c>
    </row>
    <row r="34" spans="1:2" x14ac:dyDescent="0.3">
      <c r="A34" t="s">
        <v>41</v>
      </c>
      <c r="B34" t="s">
        <v>6</v>
      </c>
    </row>
    <row r="35" spans="1:2" x14ac:dyDescent="0.3">
      <c r="A35" t="s">
        <v>42</v>
      </c>
      <c r="B35" t="s">
        <v>6</v>
      </c>
    </row>
    <row r="36" spans="1:2" x14ac:dyDescent="0.3">
      <c r="A36" t="s">
        <v>43</v>
      </c>
      <c r="B36" t="s">
        <v>6</v>
      </c>
    </row>
    <row r="37" spans="1:2" x14ac:dyDescent="0.3">
      <c r="A37" t="s">
        <v>44</v>
      </c>
      <c r="B37" t="s">
        <v>6</v>
      </c>
    </row>
    <row r="38" spans="1:2" x14ac:dyDescent="0.3">
      <c r="A38" t="s">
        <v>45</v>
      </c>
      <c r="B38" t="s">
        <v>6</v>
      </c>
    </row>
    <row r="39" spans="1:2" x14ac:dyDescent="0.3">
      <c r="A39" t="s">
        <v>46</v>
      </c>
      <c r="B39" t="s">
        <v>6</v>
      </c>
    </row>
    <row r="40" spans="1:2" x14ac:dyDescent="0.3">
      <c r="A40" t="s">
        <v>47</v>
      </c>
      <c r="B40" t="s">
        <v>6</v>
      </c>
    </row>
    <row r="41" spans="1:2" x14ac:dyDescent="0.3">
      <c r="A41" t="s">
        <v>48</v>
      </c>
      <c r="B41" t="s">
        <v>6</v>
      </c>
    </row>
    <row r="42" spans="1:2" x14ac:dyDescent="0.3">
      <c r="A42" t="s">
        <v>49</v>
      </c>
      <c r="B42" t="s">
        <v>6</v>
      </c>
    </row>
    <row r="43" spans="1:2" x14ac:dyDescent="0.3">
      <c r="A43" t="s">
        <v>50</v>
      </c>
      <c r="B43" t="s">
        <v>6</v>
      </c>
    </row>
    <row r="44" spans="1:2" x14ac:dyDescent="0.3">
      <c r="A44" t="s">
        <v>51</v>
      </c>
      <c r="B44" t="s">
        <v>6</v>
      </c>
    </row>
    <row r="45" spans="1:2" x14ac:dyDescent="0.3">
      <c r="A45" t="s">
        <v>52</v>
      </c>
      <c r="B45" t="s">
        <v>6</v>
      </c>
    </row>
    <row r="46" spans="1:2" x14ac:dyDescent="0.3">
      <c r="A46" t="s">
        <v>53</v>
      </c>
      <c r="B46" t="s">
        <v>6</v>
      </c>
    </row>
    <row r="47" spans="1:2" x14ac:dyDescent="0.3">
      <c r="A47" t="s">
        <v>54</v>
      </c>
      <c r="B47" t="s">
        <v>6</v>
      </c>
    </row>
    <row r="48" spans="1:2" x14ac:dyDescent="0.3">
      <c r="A48" t="s">
        <v>55</v>
      </c>
      <c r="B48" t="s">
        <v>6</v>
      </c>
    </row>
    <row r="49" spans="1:2" x14ac:dyDescent="0.3">
      <c r="A49" t="s">
        <v>56</v>
      </c>
      <c r="B49" t="s">
        <v>6</v>
      </c>
    </row>
    <row r="50" spans="1:2" x14ac:dyDescent="0.3">
      <c r="A50" t="s">
        <v>57</v>
      </c>
      <c r="B50" t="s">
        <v>6</v>
      </c>
    </row>
    <row r="51" spans="1:2" x14ac:dyDescent="0.3">
      <c r="A51" t="s">
        <v>58</v>
      </c>
      <c r="B51" t="s">
        <v>6</v>
      </c>
    </row>
    <row r="52" spans="1:2" x14ac:dyDescent="0.3">
      <c r="A52" t="s">
        <v>59</v>
      </c>
      <c r="B52" t="s">
        <v>6</v>
      </c>
    </row>
    <row r="53" spans="1:2" x14ac:dyDescent="0.3">
      <c r="A53" t="s">
        <v>60</v>
      </c>
      <c r="B53" t="s">
        <v>6</v>
      </c>
    </row>
    <row r="54" spans="1:2" x14ac:dyDescent="0.3">
      <c r="A54" t="s">
        <v>61</v>
      </c>
      <c r="B54" t="s">
        <v>6</v>
      </c>
    </row>
    <row r="55" spans="1:2" x14ac:dyDescent="0.3">
      <c r="A55" t="s">
        <v>62</v>
      </c>
      <c r="B55" t="s">
        <v>6</v>
      </c>
    </row>
    <row r="56" spans="1:2" x14ac:dyDescent="0.3">
      <c r="A56" t="s">
        <v>63</v>
      </c>
      <c r="B56" t="s">
        <v>6</v>
      </c>
    </row>
    <row r="57" spans="1:2" x14ac:dyDescent="0.3">
      <c r="A57" t="s">
        <v>64</v>
      </c>
      <c r="B57" t="s">
        <v>6</v>
      </c>
    </row>
    <row r="58" spans="1:2" x14ac:dyDescent="0.3">
      <c r="A58" t="s">
        <v>65</v>
      </c>
      <c r="B58" t="s">
        <v>6</v>
      </c>
    </row>
    <row r="59" spans="1:2" x14ac:dyDescent="0.3">
      <c r="A59" t="s">
        <v>66</v>
      </c>
      <c r="B59" t="s">
        <v>6</v>
      </c>
    </row>
    <row r="60" spans="1:2" x14ac:dyDescent="0.3">
      <c r="A60" t="s">
        <v>67</v>
      </c>
      <c r="B60" t="s">
        <v>6</v>
      </c>
    </row>
    <row r="61" spans="1:2" x14ac:dyDescent="0.3">
      <c r="A61" t="s">
        <v>68</v>
      </c>
      <c r="B61" t="s">
        <v>6</v>
      </c>
    </row>
    <row r="62" spans="1:2" x14ac:dyDescent="0.3">
      <c r="A62" t="s">
        <v>69</v>
      </c>
      <c r="B62" t="s">
        <v>6</v>
      </c>
    </row>
    <row r="63" spans="1:2" x14ac:dyDescent="0.3">
      <c r="A63" t="s">
        <v>70</v>
      </c>
      <c r="B63" t="s">
        <v>6</v>
      </c>
    </row>
    <row r="64" spans="1:2" x14ac:dyDescent="0.3">
      <c r="A64" t="s">
        <v>71</v>
      </c>
      <c r="B64" t="s">
        <v>6</v>
      </c>
    </row>
    <row r="65" spans="1:2" x14ac:dyDescent="0.3">
      <c r="A65" t="s">
        <v>72</v>
      </c>
      <c r="B65" t="s">
        <v>6</v>
      </c>
    </row>
    <row r="66" spans="1:2" x14ac:dyDescent="0.3">
      <c r="A66" t="s">
        <v>73</v>
      </c>
      <c r="B66" t="s">
        <v>6</v>
      </c>
    </row>
    <row r="67" spans="1:2" x14ac:dyDescent="0.3">
      <c r="A67" t="s">
        <v>74</v>
      </c>
      <c r="B67" t="s">
        <v>6</v>
      </c>
    </row>
    <row r="68" spans="1:2" x14ac:dyDescent="0.3">
      <c r="A68" t="s">
        <v>75</v>
      </c>
      <c r="B68" t="s">
        <v>6</v>
      </c>
    </row>
    <row r="69" spans="1:2" x14ac:dyDescent="0.3">
      <c r="A69" t="s">
        <v>76</v>
      </c>
      <c r="B69" t="s">
        <v>6</v>
      </c>
    </row>
    <row r="70" spans="1:2" x14ac:dyDescent="0.3">
      <c r="A70" t="s">
        <v>77</v>
      </c>
      <c r="B70" t="s">
        <v>6</v>
      </c>
    </row>
    <row r="71" spans="1:2" x14ac:dyDescent="0.3">
      <c r="A71" t="s">
        <v>78</v>
      </c>
      <c r="B71" t="s">
        <v>6</v>
      </c>
    </row>
    <row r="72" spans="1:2" x14ac:dyDescent="0.3">
      <c r="A72" t="s">
        <v>79</v>
      </c>
      <c r="B72" t="s">
        <v>6</v>
      </c>
    </row>
    <row r="73" spans="1:2" x14ac:dyDescent="0.3">
      <c r="A73" t="s">
        <v>80</v>
      </c>
      <c r="B73" t="s">
        <v>6</v>
      </c>
    </row>
    <row r="74" spans="1:2" x14ac:dyDescent="0.3">
      <c r="A74" t="s">
        <v>81</v>
      </c>
      <c r="B74" t="s">
        <v>6</v>
      </c>
    </row>
    <row r="75" spans="1:2" x14ac:dyDescent="0.3">
      <c r="A75" t="s">
        <v>82</v>
      </c>
      <c r="B75" t="s">
        <v>6</v>
      </c>
    </row>
    <row r="76" spans="1:2" x14ac:dyDescent="0.3">
      <c r="A76" t="s">
        <v>83</v>
      </c>
      <c r="B76" t="s">
        <v>6</v>
      </c>
    </row>
    <row r="77" spans="1:2" x14ac:dyDescent="0.3">
      <c r="A77" t="s">
        <v>84</v>
      </c>
      <c r="B77" t="s">
        <v>6</v>
      </c>
    </row>
    <row r="78" spans="1:2" x14ac:dyDescent="0.3">
      <c r="A78" t="s">
        <v>85</v>
      </c>
      <c r="B78" t="s">
        <v>6</v>
      </c>
    </row>
    <row r="79" spans="1:2" x14ac:dyDescent="0.3">
      <c r="A79" t="s">
        <v>86</v>
      </c>
      <c r="B79" t="s">
        <v>6</v>
      </c>
    </row>
    <row r="80" spans="1:2" x14ac:dyDescent="0.3">
      <c r="A80" t="s">
        <v>87</v>
      </c>
      <c r="B80" t="s">
        <v>6</v>
      </c>
    </row>
    <row r="81" spans="1:2" x14ac:dyDescent="0.3">
      <c r="A81" t="s">
        <v>88</v>
      </c>
      <c r="B81" t="s">
        <v>6</v>
      </c>
    </row>
    <row r="82" spans="1:2" x14ac:dyDescent="0.3">
      <c r="A82" t="s">
        <v>89</v>
      </c>
      <c r="B82" t="s">
        <v>6</v>
      </c>
    </row>
    <row r="83" spans="1:2" x14ac:dyDescent="0.3">
      <c r="A83" t="s">
        <v>90</v>
      </c>
      <c r="B83" t="s">
        <v>6</v>
      </c>
    </row>
    <row r="84" spans="1:2" x14ac:dyDescent="0.3">
      <c r="A84" t="s">
        <v>91</v>
      </c>
      <c r="B84" t="s">
        <v>6</v>
      </c>
    </row>
    <row r="85" spans="1:2" x14ac:dyDescent="0.3">
      <c r="A85" t="s">
        <v>92</v>
      </c>
      <c r="B85" t="s">
        <v>6</v>
      </c>
    </row>
    <row r="86" spans="1:2" x14ac:dyDescent="0.3">
      <c r="A86" t="s">
        <v>93</v>
      </c>
      <c r="B86" t="s">
        <v>6</v>
      </c>
    </row>
    <row r="87" spans="1:2" x14ac:dyDescent="0.3">
      <c r="A87" t="s">
        <v>94</v>
      </c>
      <c r="B87" t="s">
        <v>6</v>
      </c>
    </row>
    <row r="88" spans="1:2" x14ac:dyDescent="0.3">
      <c r="A88" t="s">
        <v>95</v>
      </c>
      <c r="B88" t="s">
        <v>6</v>
      </c>
    </row>
    <row r="89" spans="1:2" x14ac:dyDescent="0.3">
      <c r="A89" t="s">
        <v>96</v>
      </c>
      <c r="B89" t="s">
        <v>6</v>
      </c>
    </row>
    <row r="90" spans="1:2" x14ac:dyDescent="0.3">
      <c r="A90" t="s">
        <v>97</v>
      </c>
      <c r="B90" t="s">
        <v>6</v>
      </c>
    </row>
    <row r="91" spans="1:2" x14ac:dyDescent="0.3">
      <c r="A91" t="s">
        <v>98</v>
      </c>
      <c r="B91" t="s">
        <v>6</v>
      </c>
    </row>
    <row r="92" spans="1:2" x14ac:dyDescent="0.3">
      <c r="A92" t="s">
        <v>99</v>
      </c>
      <c r="B92" t="s">
        <v>6</v>
      </c>
    </row>
    <row r="93" spans="1:2" x14ac:dyDescent="0.3">
      <c r="A93" t="s">
        <v>100</v>
      </c>
      <c r="B93" t="s">
        <v>6</v>
      </c>
    </row>
    <row r="94" spans="1:2" x14ac:dyDescent="0.3">
      <c r="A94" t="s">
        <v>101</v>
      </c>
      <c r="B94" t="s">
        <v>6</v>
      </c>
    </row>
    <row r="95" spans="1:2" x14ac:dyDescent="0.3">
      <c r="A95" t="s">
        <v>102</v>
      </c>
      <c r="B95" t="s">
        <v>6</v>
      </c>
    </row>
    <row r="96" spans="1:2" x14ac:dyDescent="0.3">
      <c r="A96" t="s">
        <v>103</v>
      </c>
      <c r="B96" t="s">
        <v>6</v>
      </c>
    </row>
    <row r="97" spans="1:2" x14ac:dyDescent="0.3">
      <c r="A97" t="s">
        <v>104</v>
      </c>
      <c r="B97" t="s">
        <v>6</v>
      </c>
    </row>
    <row r="98" spans="1:2" x14ac:dyDescent="0.3">
      <c r="A98" t="s">
        <v>105</v>
      </c>
      <c r="B98" t="s">
        <v>6</v>
      </c>
    </row>
    <row r="99" spans="1:2" x14ac:dyDescent="0.3">
      <c r="A99" t="s">
        <v>106</v>
      </c>
      <c r="B99" t="s">
        <v>6</v>
      </c>
    </row>
    <row r="100" spans="1:2" x14ac:dyDescent="0.3">
      <c r="A100" t="s">
        <v>107</v>
      </c>
      <c r="B100" t="s">
        <v>6</v>
      </c>
    </row>
    <row r="101" spans="1:2" x14ac:dyDescent="0.3">
      <c r="A101" t="s">
        <v>108</v>
      </c>
      <c r="B101" t="s">
        <v>6</v>
      </c>
    </row>
    <row r="102" spans="1:2" x14ac:dyDescent="0.3">
      <c r="A102" t="s">
        <v>109</v>
      </c>
      <c r="B102" t="s">
        <v>6</v>
      </c>
    </row>
    <row r="103" spans="1:2" x14ac:dyDescent="0.3">
      <c r="A103" t="s">
        <v>110</v>
      </c>
      <c r="B103" t="s">
        <v>6</v>
      </c>
    </row>
    <row r="104" spans="1:2" x14ac:dyDescent="0.3">
      <c r="A104" t="s">
        <v>111</v>
      </c>
      <c r="B104" t="s">
        <v>6</v>
      </c>
    </row>
    <row r="105" spans="1:2" x14ac:dyDescent="0.3">
      <c r="A105" t="s">
        <v>112</v>
      </c>
      <c r="B105" t="s">
        <v>6</v>
      </c>
    </row>
    <row r="106" spans="1:2" x14ac:dyDescent="0.3">
      <c r="A106" t="s">
        <v>113</v>
      </c>
      <c r="B106" t="s">
        <v>6</v>
      </c>
    </row>
    <row r="107" spans="1:2" x14ac:dyDescent="0.3">
      <c r="A107" t="s">
        <v>114</v>
      </c>
      <c r="B107" t="s">
        <v>6</v>
      </c>
    </row>
    <row r="108" spans="1:2" x14ac:dyDescent="0.3">
      <c r="A108" t="s">
        <v>115</v>
      </c>
      <c r="B108" t="s">
        <v>6</v>
      </c>
    </row>
    <row r="109" spans="1:2" x14ac:dyDescent="0.3">
      <c r="A109" t="s">
        <v>116</v>
      </c>
      <c r="B109" t="s">
        <v>6</v>
      </c>
    </row>
    <row r="110" spans="1:2" x14ac:dyDescent="0.3">
      <c r="A110" t="s">
        <v>117</v>
      </c>
      <c r="B110" t="s">
        <v>6</v>
      </c>
    </row>
    <row r="111" spans="1:2" x14ac:dyDescent="0.3">
      <c r="A111" t="s">
        <v>118</v>
      </c>
      <c r="B111" t="s">
        <v>6</v>
      </c>
    </row>
    <row r="112" spans="1:2" x14ac:dyDescent="0.3">
      <c r="A112" t="s">
        <v>119</v>
      </c>
      <c r="B112" t="s">
        <v>6</v>
      </c>
    </row>
    <row r="113" spans="1:2" x14ac:dyDescent="0.3">
      <c r="A113" t="s">
        <v>120</v>
      </c>
      <c r="B113" t="s">
        <v>6</v>
      </c>
    </row>
    <row r="114" spans="1:2" x14ac:dyDescent="0.3">
      <c r="A114" t="s">
        <v>121</v>
      </c>
      <c r="B114" t="s">
        <v>6</v>
      </c>
    </row>
    <row r="115" spans="1:2" x14ac:dyDescent="0.3">
      <c r="A115" t="s">
        <v>122</v>
      </c>
      <c r="B115" t="s">
        <v>6</v>
      </c>
    </row>
    <row r="116" spans="1:2" x14ac:dyDescent="0.3">
      <c r="A116" t="s">
        <v>123</v>
      </c>
      <c r="B116" t="s">
        <v>6</v>
      </c>
    </row>
    <row r="117" spans="1:2" x14ac:dyDescent="0.3">
      <c r="A117" t="s">
        <v>124</v>
      </c>
      <c r="B117" t="s">
        <v>6</v>
      </c>
    </row>
    <row r="118" spans="1:2" x14ac:dyDescent="0.3">
      <c r="A118" t="s">
        <v>125</v>
      </c>
      <c r="B118" t="s">
        <v>6</v>
      </c>
    </row>
    <row r="119" spans="1:2" x14ac:dyDescent="0.3">
      <c r="A119" t="s">
        <v>126</v>
      </c>
      <c r="B119" t="s">
        <v>6</v>
      </c>
    </row>
    <row r="120" spans="1:2" x14ac:dyDescent="0.3">
      <c r="A120" t="s">
        <v>127</v>
      </c>
      <c r="B120" t="s">
        <v>6</v>
      </c>
    </row>
    <row r="121" spans="1:2" x14ac:dyDescent="0.3">
      <c r="A121" t="s">
        <v>128</v>
      </c>
      <c r="B121" t="s">
        <v>6</v>
      </c>
    </row>
    <row r="122" spans="1:2" x14ac:dyDescent="0.3">
      <c r="A122" t="s">
        <v>129</v>
      </c>
      <c r="B122" t="s">
        <v>6</v>
      </c>
    </row>
    <row r="123" spans="1:2" x14ac:dyDescent="0.3">
      <c r="A123" t="s">
        <v>130</v>
      </c>
      <c r="B123" t="s">
        <v>6</v>
      </c>
    </row>
    <row r="124" spans="1:2" x14ac:dyDescent="0.3">
      <c r="A124" t="s">
        <v>131</v>
      </c>
      <c r="B124" t="s">
        <v>6</v>
      </c>
    </row>
    <row r="125" spans="1:2" x14ac:dyDescent="0.3">
      <c r="A125" t="s">
        <v>132</v>
      </c>
      <c r="B125" t="s">
        <v>6</v>
      </c>
    </row>
    <row r="126" spans="1:2" x14ac:dyDescent="0.3">
      <c r="A126" t="s">
        <v>133</v>
      </c>
      <c r="B126" t="s">
        <v>6</v>
      </c>
    </row>
    <row r="127" spans="1:2" x14ac:dyDescent="0.3">
      <c r="A127" t="s">
        <v>134</v>
      </c>
      <c r="B127" t="s">
        <v>6</v>
      </c>
    </row>
    <row r="128" spans="1:2" x14ac:dyDescent="0.3">
      <c r="A128" t="s">
        <v>135</v>
      </c>
      <c r="B128" t="s">
        <v>6</v>
      </c>
    </row>
    <row r="129" spans="1:2" x14ac:dyDescent="0.3">
      <c r="A129" t="s">
        <v>136</v>
      </c>
      <c r="B129" t="s">
        <v>6</v>
      </c>
    </row>
    <row r="130" spans="1:2" x14ac:dyDescent="0.3">
      <c r="A130" t="s">
        <v>137</v>
      </c>
      <c r="B130" t="s">
        <v>6</v>
      </c>
    </row>
    <row r="131" spans="1:2" x14ac:dyDescent="0.3">
      <c r="A131" t="s">
        <v>138</v>
      </c>
      <c r="B131" t="s">
        <v>6</v>
      </c>
    </row>
    <row r="132" spans="1:2" x14ac:dyDescent="0.3">
      <c r="A132" t="s">
        <v>139</v>
      </c>
      <c r="B132" t="s">
        <v>6</v>
      </c>
    </row>
    <row r="133" spans="1:2" x14ac:dyDescent="0.3">
      <c r="A133" t="s">
        <v>140</v>
      </c>
      <c r="B133" t="s">
        <v>6</v>
      </c>
    </row>
    <row r="134" spans="1:2" x14ac:dyDescent="0.3">
      <c r="A134" t="s">
        <v>141</v>
      </c>
      <c r="B134" t="s">
        <v>6</v>
      </c>
    </row>
    <row r="135" spans="1:2" x14ac:dyDescent="0.3">
      <c r="A135" t="s">
        <v>142</v>
      </c>
      <c r="B135" t="s">
        <v>6</v>
      </c>
    </row>
    <row r="136" spans="1:2" x14ac:dyDescent="0.3">
      <c r="A136" t="s">
        <v>143</v>
      </c>
      <c r="B136" t="s">
        <v>6</v>
      </c>
    </row>
    <row r="137" spans="1:2" x14ac:dyDescent="0.3">
      <c r="A137" t="s">
        <v>144</v>
      </c>
      <c r="B137" t="s">
        <v>6</v>
      </c>
    </row>
    <row r="138" spans="1:2" x14ac:dyDescent="0.3">
      <c r="A138" t="s">
        <v>145</v>
      </c>
      <c r="B138" t="s">
        <v>6</v>
      </c>
    </row>
    <row r="139" spans="1:2" x14ac:dyDescent="0.3">
      <c r="A139" t="s">
        <v>146</v>
      </c>
      <c r="B139" t="s">
        <v>6</v>
      </c>
    </row>
    <row r="140" spans="1:2" x14ac:dyDescent="0.3">
      <c r="A140" t="s">
        <v>147</v>
      </c>
      <c r="B140" t="s">
        <v>6</v>
      </c>
    </row>
    <row r="141" spans="1:2" x14ac:dyDescent="0.3">
      <c r="A141" t="s">
        <v>148</v>
      </c>
      <c r="B141" t="s">
        <v>6</v>
      </c>
    </row>
    <row r="142" spans="1:2" x14ac:dyDescent="0.3">
      <c r="A142" t="s">
        <v>149</v>
      </c>
      <c r="B142" t="s">
        <v>6</v>
      </c>
    </row>
    <row r="143" spans="1:2" x14ac:dyDescent="0.3">
      <c r="A143" t="s">
        <v>150</v>
      </c>
      <c r="B143" t="s">
        <v>6</v>
      </c>
    </row>
    <row r="144" spans="1:2" x14ac:dyDescent="0.3">
      <c r="A144" t="s">
        <v>151</v>
      </c>
      <c r="B144" t="s">
        <v>6</v>
      </c>
    </row>
    <row r="145" spans="1:2" x14ac:dyDescent="0.3">
      <c r="A145" t="s">
        <v>152</v>
      </c>
      <c r="B145" t="s">
        <v>6</v>
      </c>
    </row>
    <row r="146" spans="1:2" x14ac:dyDescent="0.3">
      <c r="A146" t="s">
        <v>153</v>
      </c>
      <c r="B146" t="s">
        <v>6</v>
      </c>
    </row>
    <row r="147" spans="1:2" x14ac:dyDescent="0.3">
      <c r="A147" t="s">
        <v>154</v>
      </c>
      <c r="B147" t="s">
        <v>6</v>
      </c>
    </row>
    <row r="148" spans="1:2" x14ac:dyDescent="0.3">
      <c r="A148" t="s">
        <v>155</v>
      </c>
      <c r="B148" t="s">
        <v>6</v>
      </c>
    </row>
    <row r="149" spans="1:2" x14ac:dyDescent="0.3">
      <c r="A149" t="s">
        <v>156</v>
      </c>
      <c r="B149" t="s">
        <v>6</v>
      </c>
    </row>
    <row r="150" spans="1:2" x14ac:dyDescent="0.3">
      <c r="A150" t="s">
        <v>157</v>
      </c>
      <c r="B150" t="s">
        <v>6</v>
      </c>
    </row>
    <row r="151" spans="1:2" x14ac:dyDescent="0.3">
      <c r="A151" t="s">
        <v>158</v>
      </c>
      <c r="B151" t="s">
        <v>6</v>
      </c>
    </row>
    <row r="152" spans="1:2" x14ac:dyDescent="0.3">
      <c r="A152" t="s">
        <v>159</v>
      </c>
      <c r="B152" t="s">
        <v>6</v>
      </c>
    </row>
    <row r="153" spans="1:2" x14ac:dyDescent="0.3">
      <c r="A153" t="s">
        <v>160</v>
      </c>
      <c r="B153" t="s">
        <v>6</v>
      </c>
    </row>
    <row r="154" spans="1:2" x14ac:dyDescent="0.3">
      <c r="A154" t="s">
        <v>161</v>
      </c>
      <c r="B154" t="s">
        <v>6</v>
      </c>
    </row>
    <row r="155" spans="1:2" x14ac:dyDescent="0.3">
      <c r="A155" t="s">
        <v>162</v>
      </c>
      <c r="B155" t="s">
        <v>6</v>
      </c>
    </row>
    <row r="156" spans="1:2" x14ac:dyDescent="0.3">
      <c r="A156" t="s">
        <v>163</v>
      </c>
      <c r="B156" t="s">
        <v>6</v>
      </c>
    </row>
    <row r="157" spans="1:2" x14ac:dyDescent="0.3">
      <c r="A157" t="s">
        <v>164</v>
      </c>
      <c r="B157" t="s">
        <v>6</v>
      </c>
    </row>
    <row r="158" spans="1:2" x14ac:dyDescent="0.3">
      <c r="A158" t="s">
        <v>165</v>
      </c>
      <c r="B158" t="s">
        <v>6</v>
      </c>
    </row>
    <row r="159" spans="1:2" x14ac:dyDescent="0.3">
      <c r="A159" t="s">
        <v>166</v>
      </c>
      <c r="B159" t="s">
        <v>6</v>
      </c>
    </row>
    <row r="160" spans="1:2" x14ac:dyDescent="0.3">
      <c r="A160" t="s">
        <v>167</v>
      </c>
      <c r="B160" t="s">
        <v>6</v>
      </c>
    </row>
    <row r="161" spans="1:2" x14ac:dyDescent="0.3">
      <c r="A161" t="s">
        <v>168</v>
      </c>
      <c r="B161" t="s">
        <v>6</v>
      </c>
    </row>
    <row r="162" spans="1:2" x14ac:dyDescent="0.3">
      <c r="A162" t="s">
        <v>169</v>
      </c>
      <c r="B162" t="s">
        <v>6</v>
      </c>
    </row>
    <row r="163" spans="1:2" x14ac:dyDescent="0.3">
      <c r="A163" t="s">
        <v>170</v>
      </c>
      <c r="B163" t="s">
        <v>6</v>
      </c>
    </row>
    <row r="164" spans="1:2" x14ac:dyDescent="0.3">
      <c r="A164" t="s">
        <v>171</v>
      </c>
      <c r="B164" t="s">
        <v>6</v>
      </c>
    </row>
    <row r="165" spans="1:2" x14ac:dyDescent="0.3">
      <c r="A165" t="s">
        <v>172</v>
      </c>
      <c r="B165" t="s">
        <v>6</v>
      </c>
    </row>
    <row r="166" spans="1:2" x14ac:dyDescent="0.3">
      <c r="A166" t="s">
        <v>173</v>
      </c>
      <c r="B166" t="s">
        <v>6</v>
      </c>
    </row>
    <row r="167" spans="1:2" x14ac:dyDescent="0.3">
      <c r="A167" t="s">
        <v>174</v>
      </c>
      <c r="B167" t="s">
        <v>6</v>
      </c>
    </row>
    <row r="168" spans="1:2" x14ac:dyDescent="0.3">
      <c r="A168" t="s">
        <v>175</v>
      </c>
      <c r="B168" t="s">
        <v>6</v>
      </c>
    </row>
    <row r="169" spans="1:2" x14ac:dyDescent="0.3">
      <c r="A169" t="s">
        <v>176</v>
      </c>
      <c r="B169" t="s">
        <v>6</v>
      </c>
    </row>
    <row r="170" spans="1:2" x14ac:dyDescent="0.3">
      <c r="A170" t="s">
        <v>177</v>
      </c>
      <c r="B170" t="s">
        <v>6</v>
      </c>
    </row>
    <row r="171" spans="1:2" x14ac:dyDescent="0.3">
      <c r="A171" t="s">
        <v>178</v>
      </c>
      <c r="B171" t="s">
        <v>6</v>
      </c>
    </row>
    <row r="172" spans="1:2" x14ac:dyDescent="0.3">
      <c r="A172" t="s">
        <v>179</v>
      </c>
      <c r="B172" t="s">
        <v>6</v>
      </c>
    </row>
    <row r="173" spans="1:2" x14ac:dyDescent="0.3">
      <c r="A173" t="s">
        <v>180</v>
      </c>
      <c r="B173" t="s">
        <v>6</v>
      </c>
    </row>
    <row r="174" spans="1:2" x14ac:dyDescent="0.3">
      <c r="A174" t="s">
        <v>181</v>
      </c>
      <c r="B174" t="s">
        <v>6</v>
      </c>
    </row>
    <row r="175" spans="1:2" x14ac:dyDescent="0.3">
      <c r="A175" t="s">
        <v>182</v>
      </c>
      <c r="B175" t="s">
        <v>6</v>
      </c>
    </row>
    <row r="176" spans="1:2" x14ac:dyDescent="0.3">
      <c r="A176" t="s">
        <v>183</v>
      </c>
      <c r="B176" t="s">
        <v>6</v>
      </c>
    </row>
    <row r="177" spans="1:2" x14ac:dyDescent="0.3">
      <c r="A177" t="s">
        <v>184</v>
      </c>
      <c r="B177" t="s">
        <v>6</v>
      </c>
    </row>
    <row r="178" spans="1:2" x14ac:dyDescent="0.3">
      <c r="A178" t="s">
        <v>185</v>
      </c>
      <c r="B178" t="s">
        <v>6</v>
      </c>
    </row>
    <row r="179" spans="1:2" x14ac:dyDescent="0.3">
      <c r="A179" t="s">
        <v>186</v>
      </c>
      <c r="B179" t="s">
        <v>6</v>
      </c>
    </row>
    <row r="180" spans="1:2" x14ac:dyDescent="0.3">
      <c r="A180" t="s">
        <v>187</v>
      </c>
      <c r="B180" t="s">
        <v>6</v>
      </c>
    </row>
    <row r="181" spans="1:2" x14ac:dyDescent="0.3">
      <c r="A181" t="s">
        <v>188</v>
      </c>
      <c r="B181" t="s">
        <v>6</v>
      </c>
    </row>
    <row r="182" spans="1:2" x14ac:dyDescent="0.3">
      <c r="A182" t="s">
        <v>189</v>
      </c>
      <c r="B182" t="s">
        <v>6</v>
      </c>
    </row>
    <row r="183" spans="1:2" x14ac:dyDescent="0.3">
      <c r="A183" t="s">
        <v>190</v>
      </c>
      <c r="B183" t="s">
        <v>6</v>
      </c>
    </row>
    <row r="184" spans="1:2" x14ac:dyDescent="0.3">
      <c r="A184" t="s">
        <v>191</v>
      </c>
      <c r="B184" t="s">
        <v>6</v>
      </c>
    </row>
    <row r="185" spans="1:2" x14ac:dyDescent="0.3">
      <c r="A185" t="s">
        <v>192</v>
      </c>
      <c r="B185" t="s">
        <v>6</v>
      </c>
    </row>
    <row r="186" spans="1:2" x14ac:dyDescent="0.3">
      <c r="A186" t="s">
        <v>193</v>
      </c>
      <c r="B186" t="s">
        <v>6</v>
      </c>
    </row>
    <row r="187" spans="1:2" x14ac:dyDescent="0.3">
      <c r="A187" t="s">
        <v>194</v>
      </c>
      <c r="B187" t="s">
        <v>6</v>
      </c>
    </row>
    <row r="188" spans="1:2" x14ac:dyDescent="0.3">
      <c r="A188" t="s">
        <v>195</v>
      </c>
      <c r="B188" t="s">
        <v>6</v>
      </c>
    </row>
    <row r="189" spans="1:2" x14ac:dyDescent="0.3">
      <c r="A189" t="s">
        <v>196</v>
      </c>
      <c r="B189" t="s">
        <v>6</v>
      </c>
    </row>
    <row r="190" spans="1:2" x14ac:dyDescent="0.3">
      <c r="A190" t="s">
        <v>197</v>
      </c>
      <c r="B190" t="s">
        <v>6</v>
      </c>
    </row>
    <row r="191" spans="1:2" x14ac:dyDescent="0.3">
      <c r="A191" t="s">
        <v>198</v>
      </c>
      <c r="B191" t="s">
        <v>6</v>
      </c>
    </row>
    <row r="192" spans="1:2" x14ac:dyDescent="0.3">
      <c r="A192" t="s">
        <v>199</v>
      </c>
      <c r="B192" t="s">
        <v>6</v>
      </c>
    </row>
    <row r="193" spans="1:2" x14ac:dyDescent="0.3">
      <c r="A193" t="s">
        <v>200</v>
      </c>
      <c r="B193" t="s">
        <v>6</v>
      </c>
    </row>
    <row r="194" spans="1:2" x14ac:dyDescent="0.3">
      <c r="A194" t="s">
        <v>201</v>
      </c>
      <c r="B194" t="s">
        <v>6</v>
      </c>
    </row>
    <row r="195" spans="1:2" x14ac:dyDescent="0.3">
      <c r="A195" t="s">
        <v>202</v>
      </c>
      <c r="B195" t="s">
        <v>6</v>
      </c>
    </row>
    <row r="196" spans="1:2" x14ac:dyDescent="0.3">
      <c r="A196" t="s">
        <v>203</v>
      </c>
      <c r="B196" t="s">
        <v>6</v>
      </c>
    </row>
    <row r="197" spans="1:2" x14ac:dyDescent="0.3">
      <c r="A197" t="s">
        <v>204</v>
      </c>
      <c r="B197" t="s">
        <v>6</v>
      </c>
    </row>
    <row r="198" spans="1:2" x14ac:dyDescent="0.3">
      <c r="A198" t="s">
        <v>205</v>
      </c>
      <c r="B198" t="s">
        <v>6</v>
      </c>
    </row>
    <row r="199" spans="1:2" x14ac:dyDescent="0.3">
      <c r="A199" t="s">
        <v>206</v>
      </c>
      <c r="B199" t="s">
        <v>6</v>
      </c>
    </row>
    <row r="200" spans="1:2" x14ac:dyDescent="0.3">
      <c r="A200" t="s">
        <v>207</v>
      </c>
      <c r="B200" t="s">
        <v>6</v>
      </c>
    </row>
    <row r="201" spans="1:2" x14ac:dyDescent="0.3">
      <c r="A201" t="s">
        <v>208</v>
      </c>
      <c r="B201" t="s">
        <v>6</v>
      </c>
    </row>
    <row r="202" spans="1:2" x14ac:dyDescent="0.3">
      <c r="A202" t="s">
        <v>209</v>
      </c>
      <c r="B202" t="s">
        <v>6</v>
      </c>
    </row>
    <row r="203" spans="1:2" x14ac:dyDescent="0.3">
      <c r="A203" t="s">
        <v>210</v>
      </c>
      <c r="B203" t="s">
        <v>6</v>
      </c>
    </row>
    <row r="204" spans="1:2" x14ac:dyDescent="0.3">
      <c r="A204" t="s">
        <v>211</v>
      </c>
      <c r="B204" t="s">
        <v>6</v>
      </c>
    </row>
    <row r="205" spans="1:2" x14ac:dyDescent="0.3">
      <c r="A205" t="s">
        <v>212</v>
      </c>
      <c r="B205" t="s">
        <v>6</v>
      </c>
    </row>
    <row r="206" spans="1:2" x14ac:dyDescent="0.3">
      <c r="A206" t="s">
        <v>213</v>
      </c>
      <c r="B206" t="s">
        <v>6</v>
      </c>
    </row>
    <row r="207" spans="1:2" x14ac:dyDescent="0.3">
      <c r="A207" t="s">
        <v>214</v>
      </c>
      <c r="B207" t="s">
        <v>6</v>
      </c>
    </row>
    <row r="208" spans="1:2" x14ac:dyDescent="0.3">
      <c r="A208" t="s">
        <v>215</v>
      </c>
      <c r="B208" t="s">
        <v>6</v>
      </c>
    </row>
    <row r="209" spans="1:2" x14ac:dyDescent="0.3">
      <c r="A209" t="s">
        <v>216</v>
      </c>
      <c r="B209" t="s">
        <v>6</v>
      </c>
    </row>
    <row r="210" spans="1:2" x14ac:dyDescent="0.3">
      <c r="A210" t="s">
        <v>217</v>
      </c>
      <c r="B210" t="s">
        <v>6</v>
      </c>
    </row>
    <row r="211" spans="1:2" x14ac:dyDescent="0.3">
      <c r="A211" t="s">
        <v>218</v>
      </c>
      <c r="B211" t="s">
        <v>6</v>
      </c>
    </row>
    <row r="212" spans="1:2" x14ac:dyDescent="0.3">
      <c r="A212" t="s">
        <v>219</v>
      </c>
      <c r="B212" t="s">
        <v>6</v>
      </c>
    </row>
    <row r="213" spans="1:2" x14ac:dyDescent="0.3">
      <c r="A213" t="s">
        <v>220</v>
      </c>
      <c r="B213" t="s">
        <v>6</v>
      </c>
    </row>
    <row r="214" spans="1:2" x14ac:dyDescent="0.3">
      <c r="A214" t="s">
        <v>221</v>
      </c>
      <c r="B214" t="s">
        <v>6</v>
      </c>
    </row>
    <row r="215" spans="1:2" x14ac:dyDescent="0.3">
      <c r="A215" t="s">
        <v>222</v>
      </c>
      <c r="B215" t="s">
        <v>6</v>
      </c>
    </row>
    <row r="216" spans="1:2" x14ac:dyDescent="0.3">
      <c r="A216" t="s">
        <v>223</v>
      </c>
      <c r="B216" t="s">
        <v>6</v>
      </c>
    </row>
    <row r="217" spans="1:2" x14ac:dyDescent="0.3">
      <c r="A217" t="s">
        <v>224</v>
      </c>
      <c r="B217" t="s">
        <v>6</v>
      </c>
    </row>
    <row r="218" spans="1:2" x14ac:dyDescent="0.3">
      <c r="A218" t="s">
        <v>225</v>
      </c>
      <c r="B218" t="s">
        <v>6</v>
      </c>
    </row>
    <row r="219" spans="1:2" x14ac:dyDescent="0.3">
      <c r="A219" t="s">
        <v>226</v>
      </c>
      <c r="B219" t="s">
        <v>6</v>
      </c>
    </row>
    <row r="220" spans="1:2" x14ac:dyDescent="0.3">
      <c r="A220" t="s">
        <v>227</v>
      </c>
      <c r="B220" t="s">
        <v>6</v>
      </c>
    </row>
    <row r="221" spans="1:2" x14ac:dyDescent="0.3">
      <c r="A221" t="s">
        <v>228</v>
      </c>
      <c r="B221" t="s">
        <v>6</v>
      </c>
    </row>
    <row r="222" spans="1:2" x14ac:dyDescent="0.3">
      <c r="A222" t="s">
        <v>229</v>
      </c>
      <c r="B222" t="s">
        <v>6</v>
      </c>
    </row>
    <row r="223" spans="1:2" x14ac:dyDescent="0.3">
      <c r="A223" t="s">
        <v>230</v>
      </c>
      <c r="B223" t="s">
        <v>6</v>
      </c>
    </row>
    <row r="224" spans="1:2" x14ac:dyDescent="0.3">
      <c r="A224" t="s">
        <v>231</v>
      </c>
      <c r="B224" t="s">
        <v>6</v>
      </c>
    </row>
    <row r="225" spans="1:2" x14ac:dyDescent="0.3">
      <c r="A225" t="s">
        <v>232</v>
      </c>
      <c r="B225" t="s">
        <v>6</v>
      </c>
    </row>
    <row r="226" spans="1:2" x14ac:dyDescent="0.3">
      <c r="A226" t="s">
        <v>233</v>
      </c>
      <c r="B226" t="s">
        <v>6</v>
      </c>
    </row>
    <row r="227" spans="1:2" x14ac:dyDescent="0.3">
      <c r="A227" t="s">
        <v>234</v>
      </c>
      <c r="B227" t="s">
        <v>6</v>
      </c>
    </row>
    <row r="228" spans="1:2" x14ac:dyDescent="0.3">
      <c r="A228" t="s">
        <v>235</v>
      </c>
      <c r="B228" t="s">
        <v>6</v>
      </c>
    </row>
    <row r="229" spans="1:2" x14ac:dyDescent="0.3">
      <c r="A229" t="s">
        <v>236</v>
      </c>
      <c r="B229" t="s">
        <v>6</v>
      </c>
    </row>
    <row r="230" spans="1:2" x14ac:dyDescent="0.3">
      <c r="A230" t="s">
        <v>237</v>
      </c>
      <c r="B230" t="s">
        <v>6</v>
      </c>
    </row>
    <row r="231" spans="1:2" x14ac:dyDescent="0.3">
      <c r="A231" t="s">
        <v>238</v>
      </c>
      <c r="B231" t="s">
        <v>6</v>
      </c>
    </row>
    <row r="232" spans="1:2" x14ac:dyDescent="0.3">
      <c r="A232" t="s">
        <v>239</v>
      </c>
      <c r="B232" t="s">
        <v>6</v>
      </c>
    </row>
    <row r="233" spans="1:2" x14ac:dyDescent="0.3">
      <c r="A233" t="s">
        <v>240</v>
      </c>
      <c r="B233" t="s">
        <v>6</v>
      </c>
    </row>
    <row r="234" spans="1:2" x14ac:dyDescent="0.3">
      <c r="A234" t="s">
        <v>241</v>
      </c>
      <c r="B234" t="s">
        <v>6</v>
      </c>
    </row>
    <row r="235" spans="1:2" x14ac:dyDescent="0.3">
      <c r="A235" t="s">
        <v>242</v>
      </c>
      <c r="B235" t="s">
        <v>6</v>
      </c>
    </row>
    <row r="236" spans="1:2" x14ac:dyDescent="0.3">
      <c r="A236" t="s">
        <v>243</v>
      </c>
      <c r="B236" t="s">
        <v>6</v>
      </c>
    </row>
    <row r="237" spans="1:2" x14ac:dyDescent="0.3">
      <c r="A237" t="s">
        <v>244</v>
      </c>
      <c r="B237" t="s">
        <v>6</v>
      </c>
    </row>
    <row r="238" spans="1:2" x14ac:dyDescent="0.3">
      <c r="A238" t="s">
        <v>245</v>
      </c>
      <c r="B238" t="s">
        <v>6</v>
      </c>
    </row>
    <row r="239" spans="1:2" x14ac:dyDescent="0.3">
      <c r="A239" t="s">
        <v>246</v>
      </c>
      <c r="B239" t="s">
        <v>6</v>
      </c>
    </row>
    <row r="240" spans="1:2" x14ac:dyDescent="0.3">
      <c r="A240" t="s">
        <v>247</v>
      </c>
      <c r="B240" t="s">
        <v>6</v>
      </c>
    </row>
    <row r="241" spans="1:2" x14ac:dyDescent="0.3">
      <c r="A241" t="s">
        <v>248</v>
      </c>
      <c r="B241" t="s">
        <v>6</v>
      </c>
    </row>
    <row r="242" spans="1:2" x14ac:dyDescent="0.3">
      <c r="A242" t="s">
        <v>249</v>
      </c>
      <c r="B242" t="s">
        <v>6</v>
      </c>
    </row>
    <row r="243" spans="1:2" x14ac:dyDescent="0.3">
      <c r="A243" t="s">
        <v>250</v>
      </c>
      <c r="B243" t="s">
        <v>6</v>
      </c>
    </row>
    <row r="244" spans="1:2" x14ac:dyDescent="0.3">
      <c r="A244" t="s">
        <v>251</v>
      </c>
      <c r="B244" t="s">
        <v>6</v>
      </c>
    </row>
    <row r="245" spans="1:2" x14ac:dyDescent="0.3">
      <c r="A245" t="s">
        <v>252</v>
      </c>
      <c r="B245" t="s">
        <v>6</v>
      </c>
    </row>
    <row r="246" spans="1:2" x14ac:dyDescent="0.3">
      <c r="A246" t="s">
        <v>253</v>
      </c>
      <c r="B246" t="s">
        <v>6</v>
      </c>
    </row>
    <row r="247" spans="1:2" x14ac:dyDescent="0.3">
      <c r="A247" t="s">
        <v>254</v>
      </c>
      <c r="B247" t="s">
        <v>6</v>
      </c>
    </row>
    <row r="248" spans="1:2" x14ac:dyDescent="0.3">
      <c r="A248" t="s">
        <v>255</v>
      </c>
      <c r="B248" t="s">
        <v>6</v>
      </c>
    </row>
    <row r="249" spans="1:2" x14ac:dyDescent="0.3">
      <c r="A249" t="s">
        <v>256</v>
      </c>
      <c r="B249" t="s">
        <v>6</v>
      </c>
    </row>
    <row r="250" spans="1:2" x14ac:dyDescent="0.3">
      <c r="A250" t="s">
        <v>257</v>
      </c>
      <c r="B250" t="s">
        <v>6</v>
      </c>
    </row>
    <row r="251" spans="1:2" x14ac:dyDescent="0.3">
      <c r="A251" t="s">
        <v>258</v>
      </c>
      <c r="B251" t="s">
        <v>6</v>
      </c>
    </row>
    <row r="252" spans="1:2" x14ac:dyDescent="0.3">
      <c r="A252" t="s">
        <v>259</v>
      </c>
      <c r="B252" t="s">
        <v>6</v>
      </c>
    </row>
    <row r="253" spans="1:2" x14ac:dyDescent="0.3">
      <c r="A253" t="s">
        <v>6</v>
      </c>
      <c r="B253" t="s">
        <v>6</v>
      </c>
    </row>
    <row r="254" spans="1:2" x14ac:dyDescent="0.3">
      <c r="A254" t="s">
        <v>6</v>
      </c>
      <c r="B254" t="s">
        <v>6</v>
      </c>
    </row>
    <row r="255" spans="1:2" x14ac:dyDescent="0.3">
      <c r="A255" t="s">
        <v>6</v>
      </c>
      <c r="B255" t="s">
        <v>6</v>
      </c>
    </row>
  </sheetData>
  <pageMargins left="0.25" right="0.25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.4" x14ac:dyDescent="0.3"/>
  <sheetData>
    <row r="1" spans="1:2" x14ac:dyDescent="0.3">
      <c r="A1" t="s">
        <v>260</v>
      </c>
      <c r="B1" t="s">
        <v>6</v>
      </c>
    </row>
    <row r="2" spans="1:2" x14ac:dyDescent="0.3">
      <c r="A2" t="s">
        <v>261</v>
      </c>
      <c r="B2" t="s">
        <v>6</v>
      </c>
    </row>
    <row r="3" spans="1:2" x14ac:dyDescent="0.3">
      <c r="A3" t="s">
        <v>262</v>
      </c>
      <c r="B3" t="s">
        <v>6</v>
      </c>
    </row>
    <row r="4" spans="1:2" x14ac:dyDescent="0.3">
      <c r="A4" t="s">
        <v>263</v>
      </c>
      <c r="B4" t="s">
        <v>6</v>
      </c>
    </row>
    <row r="5" spans="1:2" x14ac:dyDescent="0.3">
      <c r="A5" t="s">
        <v>264</v>
      </c>
      <c r="B5" t="s">
        <v>6</v>
      </c>
    </row>
    <row r="6" spans="1:2" x14ac:dyDescent="0.3">
      <c r="A6" t="s">
        <v>6</v>
      </c>
      <c r="B6" t="s">
        <v>6</v>
      </c>
    </row>
    <row r="7" spans="1:2" x14ac:dyDescent="0.3">
      <c r="A7" t="s">
        <v>6</v>
      </c>
      <c r="B7" t="s">
        <v>6</v>
      </c>
    </row>
    <row r="8" spans="1:2" x14ac:dyDescent="0.3">
      <c r="A8" t="s">
        <v>6</v>
      </c>
      <c r="B8" t="s">
        <v>6</v>
      </c>
    </row>
    <row r="9" spans="1:2" x14ac:dyDescent="0.3">
      <c r="A9" t="s">
        <v>6</v>
      </c>
      <c r="B9" t="s">
        <v>6</v>
      </c>
    </row>
    <row r="10" spans="1:2" x14ac:dyDescent="0.3">
      <c r="A10" t="s">
        <v>6</v>
      </c>
      <c r="B10" t="s">
        <v>6</v>
      </c>
    </row>
  </sheetData>
  <pageMargins left="0.25" right="0.25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66AE-150D-4DE1-98E2-9C1600096CB6}">
  <dimension ref="A1:C1004"/>
  <sheetViews>
    <sheetView workbookViewId="0">
      <selection activeCell="E9" sqref="E9"/>
    </sheetView>
  </sheetViews>
  <sheetFormatPr defaultRowHeight="14.4" x14ac:dyDescent="0.3"/>
  <cols>
    <col min="2" max="2" width="97.33203125" customWidth="1"/>
    <col min="3" max="3" width="11" bestFit="1" customWidth="1"/>
  </cols>
  <sheetData>
    <row r="1" spans="1:3" ht="15" thickBot="1" x14ac:dyDescent="0.35">
      <c r="A1" s="36"/>
      <c r="B1" s="36"/>
      <c r="C1" s="36"/>
    </row>
    <row r="2" spans="1:3" ht="15" thickBot="1" x14ac:dyDescent="0.35">
      <c r="A2" s="36" t="s">
        <v>340</v>
      </c>
      <c r="B2" s="36" t="s">
        <v>1009</v>
      </c>
      <c r="C2" s="37">
        <v>10959</v>
      </c>
    </row>
    <row r="3" spans="1:3" ht="15" thickBot="1" x14ac:dyDescent="0.35">
      <c r="A3" s="36" t="s">
        <v>1562</v>
      </c>
      <c r="B3" s="36" t="s">
        <v>1008</v>
      </c>
      <c r="C3" s="37">
        <v>6089</v>
      </c>
    </row>
    <row r="4" spans="1:3" ht="15" thickBot="1" x14ac:dyDescent="0.35">
      <c r="A4" s="36" t="s">
        <v>2251</v>
      </c>
      <c r="B4" s="36" t="s">
        <v>2441</v>
      </c>
      <c r="C4" s="37">
        <v>5971</v>
      </c>
    </row>
    <row r="5" spans="1:3" ht="15" thickBot="1" x14ac:dyDescent="0.35">
      <c r="A5" s="36" t="s">
        <v>346</v>
      </c>
      <c r="B5" s="36" t="s">
        <v>1011</v>
      </c>
      <c r="C5" s="37">
        <v>4935</v>
      </c>
    </row>
    <row r="6" spans="1:3" ht="15" thickBot="1" x14ac:dyDescent="0.35">
      <c r="A6" s="36" t="s">
        <v>2249</v>
      </c>
      <c r="B6" s="36" t="s">
        <v>2442</v>
      </c>
      <c r="C6" s="37">
        <v>3995</v>
      </c>
    </row>
    <row r="7" spans="1:3" ht="15" thickBot="1" x14ac:dyDescent="0.35">
      <c r="A7" s="36" t="s">
        <v>2090</v>
      </c>
      <c r="B7" s="36" t="s">
        <v>2091</v>
      </c>
      <c r="C7" s="37">
        <v>3796</v>
      </c>
    </row>
    <row r="8" spans="1:3" ht="15" thickBot="1" x14ac:dyDescent="0.35">
      <c r="A8" s="36" t="s">
        <v>334</v>
      </c>
      <c r="B8" s="36" t="s">
        <v>2085</v>
      </c>
      <c r="C8" s="37">
        <v>3200</v>
      </c>
    </row>
    <row r="9" spans="1:3" ht="15" thickBot="1" x14ac:dyDescent="0.35">
      <c r="A9" s="36" t="s">
        <v>2086</v>
      </c>
      <c r="B9" s="36" t="s">
        <v>2087</v>
      </c>
      <c r="C9" s="37">
        <v>2949</v>
      </c>
    </row>
    <row r="10" spans="1:3" ht="15" thickBot="1" x14ac:dyDescent="0.35">
      <c r="A10" s="36" t="s">
        <v>1568</v>
      </c>
      <c r="B10" s="36" t="s">
        <v>1024</v>
      </c>
      <c r="C10" s="37">
        <v>2935</v>
      </c>
    </row>
    <row r="11" spans="1:3" ht="15" thickBot="1" x14ac:dyDescent="0.35">
      <c r="A11" s="36" t="s">
        <v>514</v>
      </c>
      <c r="B11" s="36" t="s">
        <v>1098</v>
      </c>
      <c r="C11" s="37">
        <v>2889</v>
      </c>
    </row>
    <row r="12" spans="1:3" ht="15" thickBot="1" x14ac:dyDescent="0.35">
      <c r="A12" s="36" t="s">
        <v>628</v>
      </c>
      <c r="B12" s="36" t="s">
        <v>1016</v>
      </c>
      <c r="C12" s="37">
        <v>2747</v>
      </c>
    </row>
    <row r="13" spans="1:3" ht="15" thickBot="1" x14ac:dyDescent="0.35">
      <c r="A13" s="36" t="s">
        <v>2092</v>
      </c>
      <c r="B13" s="36" t="s">
        <v>2093</v>
      </c>
      <c r="C13" s="37">
        <v>2479</v>
      </c>
    </row>
    <row r="14" spans="1:3" ht="15" thickBot="1" x14ac:dyDescent="0.35">
      <c r="A14" s="36" t="s">
        <v>1564</v>
      </c>
      <c r="B14" s="36" t="s">
        <v>1013</v>
      </c>
      <c r="C14" s="37">
        <v>2394</v>
      </c>
    </row>
    <row r="15" spans="1:3" ht="15" thickBot="1" x14ac:dyDescent="0.35">
      <c r="A15" s="36" t="s">
        <v>2088</v>
      </c>
      <c r="B15" s="36" t="s">
        <v>2089</v>
      </c>
      <c r="C15" s="37">
        <v>2375</v>
      </c>
    </row>
    <row r="16" spans="1:3" ht="15" thickBot="1" x14ac:dyDescent="0.35">
      <c r="A16" s="36" t="s">
        <v>2169</v>
      </c>
      <c r="B16" s="36" t="s">
        <v>2443</v>
      </c>
      <c r="C16" s="37">
        <v>2263</v>
      </c>
    </row>
    <row r="17" spans="1:3" ht="15" thickBot="1" x14ac:dyDescent="0.35">
      <c r="A17" s="36" t="s">
        <v>538</v>
      </c>
      <c r="B17" s="36" t="s">
        <v>1118</v>
      </c>
      <c r="C17" s="37">
        <v>2225</v>
      </c>
    </row>
    <row r="18" spans="1:3" ht="15" thickBot="1" x14ac:dyDescent="0.35">
      <c r="A18" s="36" t="s">
        <v>1565</v>
      </c>
      <c r="B18" s="36" t="s">
        <v>1014</v>
      </c>
      <c r="C18" s="37">
        <v>2141</v>
      </c>
    </row>
    <row r="19" spans="1:3" ht="15" thickBot="1" x14ac:dyDescent="0.35">
      <c r="A19" s="36" t="s">
        <v>1563</v>
      </c>
      <c r="B19" s="36" t="s">
        <v>1010</v>
      </c>
      <c r="C19" s="37">
        <v>2120</v>
      </c>
    </row>
    <row r="20" spans="1:3" ht="15" thickBot="1" x14ac:dyDescent="0.35">
      <c r="A20" s="36" t="s">
        <v>358</v>
      </c>
      <c r="B20" s="36" t="s">
        <v>1026</v>
      </c>
      <c r="C20" s="37">
        <v>2067</v>
      </c>
    </row>
    <row r="21" spans="1:3" ht="15" thickBot="1" x14ac:dyDescent="0.35">
      <c r="A21" s="36" t="s">
        <v>416</v>
      </c>
      <c r="B21" s="36" t="s">
        <v>1028</v>
      </c>
      <c r="C21" s="37">
        <v>1956</v>
      </c>
    </row>
    <row r="22" spans="1:3" ht="15" thickBot="1" x14ac:dyDescent="0.35">
      <c r="A22" s="36" t="s">
        <v>2444</v>
      </c>
      <c r="B22" s="36" t="s">
        <v>2445</v>
      </c>
      <c r="C22" s="37">
        <v>1929</v>
      </c>
    </row>
    <row r="23" spans="1:3" ht="15" thickBot="1" x14ac:dyDescent="0.35">
      <c r="A23" s="36" t="s">
        <v>2080</v>
      </c>
      <c r="B23" s="36" t="s">
        <v>2081</v>
      </c>
      <c r="C23" s="37">
        <v>1823</v>
      </c>
    </row>
    <row r="24" spans="1:3" ht="15" thickBot="1" x14ac:dyDescent="0.35">
      <c r="A24" s="36" t="s">
        <v>450</v>
      </c>
      <c r="B24" s="36" t="s">
        <v>1018</v>
      </c>
      <c r="C24" s="37">
        <v>1731</v>
      </c>
    </row>
    <row r="25" spans="1:3" ht="15" thickBot="1" x14ac:dyDescent="0.35">
      <c r="A25" s="36" t="s">
        <v>784</v>
      </c>
      <c r="B25" s="36" t="s">
        <v>2446</v>
      </c>
      <c r="C25" s="37">
        <v>1675</v>
      </c>
    </row>
    <row r="26" spans="1:3" ht="15" thickBot="1" x14ac:dyDescent="0.35">
      <c r="A26" s="36" t="s">
        <v>752</v>
      </c>
      <c r="B26" s="36" t="s">
        <v>1051</v>
      </c>
      <c r="C26" s="37">
        <v>1596</v>
      </c>
    </row>
    <row r="27" spans="1:3" ht="15" thickBot="1" x14ac:dyDescent="0.35">
      <c r="A27" s="36" t="s">
        <v>558</v>
      </c>
      <c r="B27" s="36" t="s">
        <v>1022</v>
      </c>
      <c r="C27" s="37">
        <v>1568</v>
      </c>
    </row>
    <row r="28" spans="1:3" ht="15" thickBot="1" x14ac:dyDescent="0.35">
      <c r="A28" s="36" t="s">
        <v>350</v>
      </c>
      <c r="B28" s="36" t="s">
        <v>1036</v>
      </c>
      <c r="C28" s="37">
        <v>1477</v>
      </c>
    </row>
    <row r="29" spans="1:3" ht="15" thickBot="1" x14ac:dyDescent="0.35">
      <c r="A29" s="36" t="s">
        <v>312</v>
      </c>
      <c r="B29" s="36" t="s">
        <v>1019</v>
      </c>
      <c r="C29" s="37">
        <v>1467</v>
      </c>
    </row>
    <row r="30" spans="1:3" ht="15" thickBot="1" x14ac:dyDescent="0.35">
      <c r="A30" s="36" t="s">
        <v>1598</v>
      </c>
      <c r="B30" s="36" t="s">
        <v>1110</v>
      </c>
      <c r="C30" s="37">
        <v>1439</v>
      </c>
    </row>
    <row r="31" spans="1:3" ht="15" thickBot="1" x14ac:dyDescent="0.35">
      <c r="A31" s="36"/>
      <c r="B31" s="36" t="s">
        <v>2447</v>
      </c>
      <c r="C31" s="37">
        <v>1430</v>
      </c>
    </row>
    <row r="32" spans="1:3" ht="15" thickBot="1" x14ac:dyDescent="0.35">
      <c r="A32" s="36" t="s">
        <v>314</v>
      </c>
      <c r="B32" s="36" t="s">
        <v>2448</v>
      </c>
      <c r="C32" s="37">
        <v>1430</v>
      </c>
    </row>
    <row r="33" spans="1:3" ht="15" thickBot="1" x14ac:dyDescent="0.35">
      <c r="A33" s="36" t="s">
        <v>778</v>
      </c>
      <c r="B33" s="36" t="s">
        <v>1062</v>
      </c>
      <c r="C33" s="37">
        <v>1344</v>
      </c>
    </row>
    <row r="34" spans="1:3" ht="15" thickBot="1" x14ac:dyDescent="0.35">
      <c r="A34" s="36" t="s">
        <v>2192</v>
      </c>
      <c r="B34" s="36" t="s">
        <v>2449</v>
      </c>
      <c r="C34" s="37">
        <v>1295</v>
      </c>
    </row>
    <row r="35" spans="1:3" ht="15" thickBot="1" x14ac:dyDescent="0.35">
      <c r="A35" s="36" t="s">
        <v>1618</v>
      </c>
      <c r="B35" s="36" t="s">
        <v>1157</v>
      </c>
      <c r="C35" s="37">
        <v>1281</v>
      </c>
    </row>
    <row r="36" spans="1:3" ht="15" thickBot="1" x14ac:dyDescent="0.35">
      <c r="A36" s="36" t="s">
        <v>1567</v>
      </c>
      <c r="B36" s="36" t="s">
        <v>2450</v>
      </c>
      <c r="C36" s="37">
        <v>1261</v>
      </c>
    </row>
    <row r="37" spans="1:3" ht="27.6" thickBot="1" x14ac:dyDescent="0.35">
      <c r="A37" s="36" t="s">
        <v>320</v>
      </c>
      <c r="B37" s="36" t="s">
        <v>2428</v>
      </c>
      <c r="C37" s="37">
        <v>1199</v>
      </c>
    </row>
    <row r="38" spans="1:3" ht="15" thickBot="1" x14ac:dyDescent="0.35">
      <c r="A38" s="36" t="s">
        <v>730</v>
      </c>
      <c r="B38" s="36" t="s">
        <v>1015</v>
      </c>
      <c r="C38" s="37">
        <v>1196</v>
      </c>
    </row>
    <row r="39" spans="1:3" ht="15" thickBot="1" x14ac:dyDescent="0.35">
      <c r="A39" s="36" t="s">
        <v>852</v>
      </c>
      <c r="B39" s="36" t="s">
        <v>1080</v>
      </c>
      <c r="C39" s="37">
        <v>1195</v>
      </c>
    </row>
    <row r="40" spans="1:3" ht="15" thickBot="1" x14ac:dyDescent="0.35">
      <c r="A40" s="36" t="s">
        <v>872</v>
      </c>
      <c r="B40" s="36" t="s">
        <v>1029</v>
      </c>
      <c r="C40" s="37">
        <v>1161</v>
      </c>
    </row>
    <row r="41" spans="1:3" ht="15" thickBot="1" x14ac:dyDescent="0.35">
      <c r="A41" s="36" t="s">
        <v>330</v>
      </c>
      <c r="B41" s="36" t="s">
        <v>2098</v>
      </c>
      <c r="C41" s="37">
        <v>1087</v>
      </c>
    </row>
    <row r="42" spans="1:3" ht="15" thickBot="1" x14ac:dyDescent="0.35">
      <c r="A42" s="36" t="s">
        <v>880</v>
      </c>
      <c r="B42" s="36" t="s">
        <v>2398</v>
      </c>
      <c r="C42" s="37">
        <v>1060</v>
      </c>
    </row>
    <row r="43" spans="1:3" ht="15" thickBot="1" x14ac:dyDescent="0.35">
      <c r="A43" s="36" t="s">
        <v>848</v>
      </c>
      <c r="B43" s="36" t="s">
        <v>2399</v>
      </c>
      <c r="C43" s="37">
        <v>1053</v>
      </c>
    </row>
    <row r="44" spans="1:3" ht="15" thickBot="1" x14ac:dyDescent="0.35">
      <c r="A44" s="36" t="s">
        <v>770</v>
      </c>
      <c r="B44" s="36" t="s">
        <v>1035</v>
      </c>
      <c r="C44" s="37">
        <v>1051</v>
      </c>
    </row>
    <row r="45" spans="1:3" ht="15" thickBot="1" x14ac:dyDescent="0.35">
      <c r="A45" s="36" t="s">
        <v>850</v>
      </c>
      <c r="B45" s="36" t="s">
        <v>2451</v>
      </c>
      <c r="C45" s="37">
        <v>1029</v>
      </c>
    </row>
    <row r="46" spans="1:3" ht="15" thickBot="1" x14ac:dyDescent="0.35">
      <c r="A46" s="36" t="s">
        <v>342</v>
      </c>
      <c r="B46" s="36" t="s">
        <v>2079</v>
      </c>
      <c r="C46" s="37">
        <v>998</v>
      </c>
    </row>
    <row r="47" spans="1:3" ht="15" thickBot="1" x14ac:dyDescent="0.35">
      <c r="A47" s="36" t="s">
        <v>1578</v>
      </c>
      <c r="B47" s="36" t="s">
        <v>1054</v>
      </c>
      <c r="C47" s="37">
        <v>973</v>
      </c>
    </row>
    <row r="48" spans="1:3" ht="15" thickBot="1" x14ac:dyDescent="0.35">
      <c r="A48" s="36" t="s">
        <v>662</v>
      </c>
      <c r="B48" s="36" t="s">
        <v>2151</v>
      </c>
      <c r="C48" s="37">
        <v>971</v>
      </c>
    </row>
    <row r="49" spans="1:3" ht="15" thickBot="1" x14ac:dyDescent="0.35">
      <c r="A49" s="36"/>
      <c r="B49" s="36" t="s">
        <v>2452</v>
      </c>
      <c r="C49" s="37">
        <v>954</v>
      </c>
    </row>
    <row r="50" spans="1:3" ht="15" thickBot="1" x14ac:dyDescent="0.35">
      <c r="A50" s="36" t="s">
        <v>2453</v>
      </c>
      <c r="B50" s="36" t="s">
        <v>2454</v>
      </c>
      <c r="C50" s="37">
        <v>952</v>
      </c>
    </row>
    <row r="51" spans="1:3" ht="15" thickBot="1" x14ac:dyDescent="0.35">
      <c r="A51" s="36"/>
      <c r="B51" s="36" t="s">
        <v>2401</v>
      </c>
      <c r="C51" s="37">
        <v>951</v>
      </c>
    </row>
    <row r="52" spans="1:3" ht="15" thickBot="1" x14ac:dyDescent="0.35">
      <c r="A52" s="36" t="s">
        <v>574</v>
      </c>
      <c r="B52" s="36" t="s">
        <v>1084</v>
      </c>
      <c r="C52" s="37">
        <v>947</v>
      </c>
    </row>
    <row r="53" spans="1:3" ht="15" thickBot="1" x14ac:dyDescent="0.35">
      <c r="A53" s="36" t="s">
        <v>820</v>
      </c>
      <c r="B53" s="36" t="s">
        <v>2455</v>
      </c>
      <c r="C53" s="37">
        <v>941</v>
      </c>
    </row>
    <row r="54" spans="1:3" ht="15" thickBot="1" x14ac:dyDescent="0.35">
      <c r="A54" s="36" t="s">
        <v>2456</v>
      </c>
      <c r="B54" s="36" t="s">
        <v>2457</v>
      </c>
      <c r="C54" s="37">
        <v>939</v>
      </c>
    </row>
    <row r="55" spans="1:3" ht="15" thickBot="1" x14ac:dyDescent="0.35">
      <c r="A55" s="36" t="s">
        <v>2458</v>
      </c>
      <c r="B55" s="36" t="s">
        <v>2459</v>
      </c>
      <c r="C55" s="37">
        <v>929</v>
      </c>
    </row>
    <row r="56" spans="1:3" ht="15" thickBot="1" x14ac:dyDescent="0.35">
      <c r="A56" s="36" t="s">
        <v>316</v>
      </c>
      <c r="B56" s="36" t="s">
        <v>2460</v>
      </c>
      <c r="C56" s="37">
        <v>925</v>
      </c>
    </row>
    <row r="57" spans="1:3" ht="15" thickBot="1" x14ac:dyDescent="0.35">
      <c r="A57" s="36"/>
      <c r="B57" s="36" t="s">
        <v>1064</v>
      </c>
      <c r="C57" s="37">
        <v>904</v>
      </c>
    </row>
    <row r="58" spans="1:3" ht="15" thickBot="1" x14ac:dyDescent="0.35">
      <c r="A58" s="36" t="s">
        <v>454</v>
      </c>
      <c r="B58" s="36" t="s">
        <v>1140</v>
      </c>
      <c r="C58" s="37">
        <v>901</v>
      </c>
    </row>
    <row r="59" spans="1:3" ht="15" thickBot="1" x14ac:dyDescent="0.35">
      <c r="A59" s="36" t="s">
        <v>468</v>
      </c>
      <c r="B59" s="36" t="s">
        <v>1039</v>
      </c>
      <c r="C59" s="37">
        <v>884</v>
      </c>
    </row>
    <row r="60" spans="1:3" ht="15" thickBot="1" x14ac:dyDescent="0.35">
      <c r="A60" s="36" t="s">
        <v>378</v>
      </c>
      <c r="B60" s="36" t="s">
        <v>2148</v>
      </c>
      <c r="C60" s="37">
        <v>879</v>
      </c>
    </row>
    <row r="61" spans="1:3" ht="15" thickBot="1" x14ac:dyDescent="0.35">
      <c r="A61" s="36" t="s">
        <v>480</v>
      </c>
      <c r="B61" s="36" t="s">
        <v>1073</v>
      </c>
      <c r="C61" s="37">
        <v>869</v>
      </c>
    </row>
    <row r="62" spans="1:3" ht="15" thickBot="1" x14ac:dyDescent="0.35">
      <c r="A62" s="36" t="s">
        <v>368</v>
      </c>
      <c r="B62" s="36" t="s">
        <v>1048</v>
      </c>
      <c r="C62" s="37">
        <v>848</v>
      </c>
    </row>
    <row r="63" spans="1:3" ht="15" thickBot="1" x14ac:dyDescent="0.35">
      <c r="A63" s="36" t="s">
        <v>1585</v>
      </c>
      <c r="B63" s="36" t="s">
        <v>1069</v>
      </c>
      <c r="C63" s="37">
        <v>845</v>
      </c>
    </row>
    <row r="64" spans="1:3" ht="15" thickBot="1" x14ac:dyDescent="0.35">
      <c r="A64" s="36" t="s">
        <v>1577</v>
      </c>
      <c r="B64" s="36" t="s">
        <v>1053</v>
      </c>
      <c r="C64" s="37">
        <v>844</v>
      </c>
    </row>
    <row r="65" spans="1:3" ht="15" thickBot="1" x14ac:dyDescent="0.35">
      <c r="A65" s="36" t="s">
        <v>460</v>
      </c>
      <c r="B65" s="36" t="s">
        <v>2388</v>
      </c>
      <c r="C65" s="37">
        <v>842</v>
      </c>
    </row>
    <row r="66" spans="1:3" ht="15" thickBot="1" x14ac:dyDescent="0.35">
      <c r="A66" s="36" t="s">
        <v>380</v>
      </c>
      <c r="B66" s="36" t="s">
        <v>1096</v>
      </c>
      <c r="C66" s="37">
        <v>839</v>
      </c>
    </row>
    <row r="67" spans="1:3" ht="15" thickBot="1" x14ac:dyDescent="0.35">
      <c r="A67" s="36" t="s">
        <v>400</v>
      </c>
      <c r="B67" s="36" t="s">
        <v>2461</v>
      </c>
      <c r="C67" s="37">
        <v>820</v>
      </c>
    </row>
    <row r="68" spans="1:3" ht="15" thickBot="1" x14ac:dyDescent="0.35">
      <c r="A68" s="36" t="s">
        <v>542</v>
      </c>
      <c r="B68" s="36" t="s">
        <v>1165</v>
      </c>
      <c r="C68" s="37">
        <v>817</v>
      </c>
    </row>
    <row r="69" spans="1:3" ht="15" thickBot="1" x14ac:dyDescent="0.35">
      <c r="A69" s="36" t="s">
        <v>444</v>
      </c>
      <c r="B69" s="36" t="s">
        <v>2462</v>
      </c>
      <c r="C69" s="37">
        <v>816</v>
      </c>
    </row>
    <row r="70" spans="1:3" ht="15" thickBot="1" x14ac:dyDescent="0.35">
      <c r="A70" s="36" t="s">
        <v>618</v>
      </c>
      <c r="B70" s="36" t="s">
        <v>1079</v>
      </c>
      <c r="C70" s="37">
        <v>811</v>
      </c>
    </row>
    <row r="71" spans="1:3" ht="15" thickBot="1" x14ac:dyDescent="0.35">
      <c r="A71" s="36" t="s">
        <v>796</v>
      </c>
      <c r="B71" s="36" t="s">
        <v>2397</v>
      </c>
      <c r="C71" s="37">
        <v>803</v>
      </c>
    </row>
    <row r="72" spans="1:3" ht="15" thickBot="1" x14ac:dyDescent="0.35">
      <c r="A72" s="36" t="s">
        <v>764</v>
      </c>
      <c r="B72" s="36" t="s">
        <v>1146</v>
      </c>
      <c r="C72" s="37">
        <v>799</v>
      </c>
    </row>
    <row r="73" spans="1:3" ht="15" thickBot="1" x14ac:dyDescent="0.35">
      <c r="A73" s="36" t="s">
        <v>2128</v>
      </c>
      <c r="B73" s="36" t="s">
        <v>2129</v>
      </c>
      <c r="C73" s="37">
        <v>797</v>
      </c>
    </row>
    <row r="74" spans="1:3" ht="15" thickBot="1" x14ac:dyDescent="0.35">
      <c r="A74" s="36" t="s">
        <v>754</v>
      </c>
      <c r="B74" s="36" t="s">
        <v>2396</v>
      </c>
      <c r="C74" s="37">
        <v>794</v>
      </c>
    </row>
    <row r="75" spans="1:3" ht="15" thickBot="1" x14ac:dyDescent="0.35">
      <c r="A75" s="36" t="s">
        <v>774</v>
      </c>
      <c r="B75" s="36" t="s">
        <v>1093</v>
      </c>
      <c r="C75" s="37">
        <v>786</v>
      </c>
    </row>
    <row r="76" spans="1:3" ht="15" thickBot="1" x14ac:dyDescent="0.35">
      <c r="A76" s="36" t="s">
        <v>490</v>
      </c>
      <c r="B76" s="36" t="s">
        <v>2390</v>
      </c>
      <c r="C76" s="37">
        <v>781</v>
      </c>
    </row>
    <row r="77" spans="1:3" ht="15" thickBot="1" x14ac:dyDescent="0.35">
      <c r="A77" s="36" t="s">
        <v>2463</v>
      </c>
      <c r="B77" s="36" t="s">
        <v>2464</v>
      </c>
      <c r="C77" s="37">
        <v>775</v>
      </c>
    </row>
    <row r="78" spans="1:3" ht="15" thickBot="1" x14ac:dyDescent="0.35">
      <c r="A78" s="36" t="s">
        <v>2465</v>
      </c>
      <c r="B78" s="36" t="s">
        <v>2466</v>
      </c>
      <c r="C78" s="37">
        <v>765</v>
      </c>
    </row>
    <row r="79" spans="1:3" ht="15" thickBot="1" x14ac:dyDescent="0.35">
      <c r="A79" s="36" t="s">
        <v>1607</v>
      </c>
      <c r="B79" s="36" t="s">
        <v>1122</v>
      </c>
      <c r="C79" s="37">
        <v>760</v>
      </c>
    </row>
    <row r="80" spans="1:3" ht="15" thickBot="1" x14ac:dyDescent="0.35">
      <c r="A80" s="36" t="s">
        <v>1595</v>
      </c>
      <c r="B80" s="36" t="s">
        <v>2467</v>
      </c>
      <c r="C80" s="37">
        <v>751</v>
      </c>
    </row>
    <row r="81" spans="1:3" ht="15" thickBot="1" x14ac:dyDescent="0.35">
      <c r="A81" s="36" t="s">
        <v>322</v>
      </c>
      <c r="B81" s="36" t="s">
        <v>1379</v>
      </c>
      <c r="C81" s="37">
        <v>749</v>
      </c>
    </row>
    <row r="82" spans="1:3" ht="15" thickBot="1" x14ac:dyDescent="0.35">
      <c r="A82" s="36" t="s">
        <v>836</v>
      </c>
      <c r="B82" s="36" t="s">
        <v>1063</v>
      </c>
      <c r="C82" s="37">
        <v>746</v>
      </c>
    </row>
    <row r="83" spans="1:3" ht="15" thickBot="1" x14ac:dyDescent="0.35">
      <c r="A83" s="36" t="s">
        <v>2321</v>
      </c>
      <c r="B83" s="36" t="s">
        <v>2420</v>
      </c>
      <c r="C83" s="37">
        <v>739</v>
      </c>
    </row>
    <row r="84" spans="1:3" ht="15" thickBot="1" x14ac:dyDescent="0.35">
      <c r="A84" s="36" t="s">
        <v>748</v>
      </c>
      <c r="B84" s="36" t="s">
        <v>1034</v>
      </c>
      <c r="C84" s="37">
        <v>737</v>
      </c>
    </row>
    <row r="85" spans="1:3" ht="15" thickBot="1" x14ac:dyDescent="0.35">
      <c r="A85" s="36"/>
      <c r="B85" s="36" t="s">
        <v>2468</v>
      </c>
      <c r="C85" s="37">
        <v>734</v>
      </c>
    </row>
    <row r="86" spans="1:3" ht="15" thickBot="1" x14ac:dyDescent="0.35">
      <c r="A86" s="36" t="s">
        <v>624</v>
      </c>
      <c r="B86" s="36" t="s">
        <v>1083</v>
      </c>
      <c r="C86" s="37">
        <v>728</v>
      </c>
    </row>
    <row r="87" spans="1:3" ht="15" thickBot="1" x14ac:dyDescent="0.35">
      <c r="A87" s="36" t="s">
        <v>598</v>
      </c>
      <c r="B87" s="36" t="s">
        <v>2407</v>
      </c>
      <c r="C87" s="37">
        <v>727</v>
      </c>
    </row>
    <row r="88" spans="1:3" ht="15" thickBot="1" x14ac:dyDescent="0.35">
      <c r="A88" s="36" t="s">
        <v>318</v>
      </c>
      <c r="B88" s="36" t="s">
        <v>1977</v>
      </c>
      <c r="C88" s="37">
        <v>725</v>
      </c>
    </row>
    <row r="89" spans="1:3" ht="15" thickBot="1" x14ac:dyDescent="0.35">
      <c r="A89" s="36" t="s">
        <v>2469</v>
      </c>
      <c r="B89" s="36" t="s">
        <v>2470</v>
      </c>
      <c r="C89" s="37">
        <v>705</v>
      </c>
    </row>
    <row r="90" spans="1:3" ht="15" thickBot="1" x14ac:dyDescent="0.35">
      <c r="A90" s="36" t="s">
        <v>1591</v>
      </c>
      <c r="B90" s="36" t="s">
        <v>1088</v>
      </c>
      <c r="C90" s="37">
        <v>703</v>
      </c>
    </row>
    <row r="91" spans="1:3" ht="15" thickBot="1" x14ac:dyDescent="0.35">
      <c r="A91" s="36" t="s">
        <v>698</v>
      </c>
      <c r="B91" s="36" t="s">
        <v>2402</v>
      </c>
      <c r="C91" s="37">
        <v>700</v>
      </c>
    </row>
    <row r="92" spans="1:3" ht="15" thickBot="1" x14ac:dyDescent="0.35">
      <c r="A92" s="36" t="s">
        <v>866</v>
      </c>
      <c r="B92" s="36" t="s">
        <v>2124</v>
      </c>
      <c r="C92" s="37">
        <v>692</v>
      </c>
    </row>
    <row r="93" spans="1:3" ht="15" thickBot="1" x14ac:dyDescent="0.35">
      <c r="A93" s="36" t="s">
        <v>604</v>
      </c>
      <c r="B93" s="36" t="s">
        <v>1095</v>
      </c>
      <c r="C93" s="37">
        <v>692</v>
      </c>
    </row>
    <row r="94" spans="1:3" ht="15" thickBot="1" x14ac:dyDescent="0.35">
      <c r="A94" s="36" t="s">
        <v>1644</v>
      </c>
      <c r="B94" s="36" t="s">
        <v>1198</v>
      </c>
      <c r="C94" s="37">
        <v>687</v>
      </c>
    </row>
    <row r="95" spans="1:3" ht="15" thickBot="1" x14ac:dyDescent="0.35">
      <c r="A95" s="36" t="s">
        <v>1669</v>
      </c>
      <c r="B95" s="36" t="s">
        <v>1228</v>
      </c>
      <c r="C95" s="37">
        <v>686</v>
      </c>
    </row>
    <row r="96" spans="1:3" ht="15" thickBot="1" x14ac:dyDescent="0.35">
      <c r="A96" s="36" t="s">
        <v>810</v>
      </c>
      <c r="B96" s="36" t="s">
        <v>1045</v>
      </c>
      <c r="C96" s="37">
        <v>678</v>
      </c>
    </row>
    <row r="97" spans="1:3" ht="15" thickBot="1" x14ac:dyDescent="0.35">
      <c r="A97" s="36" t="s">
        <v>688</v>
      </c>
      <c r="B97" s="36" t="s">
        <v>1100</v>
      </c>
      <c r="C97" s="37">
        <v>677</v>
      </c>
    </row>
    <row r="98" spans="1:3" ht="15" thickBot="1" x14ac:dyDescent="0.35">
      <c r="A98" s="36" t="s">
        <v>1709</v>
      </c>
      <c r="B98" s="36" t="s">
        <v>1275</v>
      </c>
      <c r="C98" s="37">
        <v>673</v>
      </c>
    </row>
    <row r="99" spans="1:3" ht="15" thickBot="1" x14ac:dyDescent="0.35">
      <c r="A99" s="36" t="s">
        <v>2314</v>
      </c>
      <c r="B99" s="36" t="s">
        <v>2430</v>
      </c>
      <c r="C99" s="37">
        <v>668</v>
      </c>
    </row>
    <row r="100" spans="1:3" ht="15" thickBot="1" x14ac:dyDescent="0.35">
      <c r="A100" s="36" t="s">
        <v>434</v>
      </c>
      <c r="B100" s="36" t="s">
        <v>1125</v>
      </c>
      <c r="C100" s="37">
        <v>666</v>
      </c>
    </row>
    <row r="101" spans="1:3" ht="15" thickBot="1" x14ac:dyDescent="0.35">
      <c r="A101" s="36" t="s">
        <v>2061</v>
      </c>
      <c r="B101" s="36" t="s">
        <v>2062</v>
      </c>
      <c r="C101" s="37">
        <v>659</v>
      </c>
    </row>
    <row r="102" spans="1:3" ht="15" thickBot="1" x14ac:dyDescent="0.35">
      <c r="A102" s="36" t="s">
        <v>854</v>
      </c>
      <c r="B102" s="36" t="s">
        <v>1142</v>
      </c>
      <c r="C102" s="37">
        <v>649</v>
      </c>
    </row>
    <row r="103" spans="1:3" ht="15" thickBot="1" x14ac:dyDescent="0.35">
      <c r="A103" s="36" t="s">
        <v>470</v>
      </c>
      <c r="B103" s="36" t="s">
        <v>1021</v>
      </c>
      <c r="C103" s="37">
        <v>643</v>
      </c>
    </row>
    <row r="104" spans="1:3" ht="15" thickBot="1" x14ac:dyDescent="0.35">
      <c r="A104" s="36" t="s">
        <v>388</v>
      </c>
      <c r="B104" s="36" t="s">
        <v>2121</v>
      </c>
      <c r="C104" s="37">
        <v>641</v>
      </c>
    </row>
    <row r="105" spans="1:3" ht="15" thickBot="1" x14ac:dyDescent="0.35">
      <c r="A105" s="36" t="s">
        <v>1571</v>
      </c>
      <c r="B105" s="36" t="s">
        <v>2471</v>
      </c>
      <c r="C105" s="37">
        <v>640</v>
      </c>
    </row>
    <row r="106" spans="1:3" ht="15" thickBot="1" x14ac:dyDescent="0.35">
      <c r="A106" s="36" t="s">
        <v>868</v>
      </c>
      <c r="B106" s="36" t="s">
        <v>1032</v>
      </c>
      <c r="C106" s="37">
        <v>631</v>
      </c>
    </row>
    <row r="107" spans="1:3" ht="15" thickBot="1" x14ac:dyDescent="0.35">
      <c r="A107" s="36" t="s">
        <v>756</v>
      </c>
      <c r="B107" s="36" t="s">
        <v>2097</v>
      </c>
      <c r="C107" s="37">
        <v>629</v>
      </c>
    </row>
    <row r="108" spans="1:3" ht="15" thickBot="1" x14ac:dyDescent="0.35">
      <c r="A108" s="36" t="s">
        <v>436</v>
      </c>
      <c r="B108" s="36" t="s">
        <v>2383</v>
      </c>
      <c r="C108" s="37">
        <v>629</v>
      </c>
    </row>
    <row r="109" spans="1:3" ht="15" thickBot="1" x14ac:dyDescent="0.35">
      <c r="A109" s="36" t="s">
        <v>354</v>
      </c>
      <c r="B109" s="36" t="s">
        <v>2472</v>
      </c>
      <c r="C109" s="37">
        <v>627</v>
      </c>
    </row>
    <row r="110" spans="1:3" ht="15" thickBot="1" x14ac:dyDescent="0.35">
      <c r="A110" s="36"/>
      <c r="B110" s="36" t="s">
        <v>2003</v>
      </c>
      <c r="C110" s="37">
        <v>624</v>
      </c>
    </row>
    <row r="111" spans="1:3" ht="15" thickBot="1" x14ac:dyDescent="0.35">
      <c r="A111" s="36" t="s">
        <v>620</v>
      </c>
      <c r="B111" s="36" t="s">
        <v>2438</v>
      </c>
      <c r="C111" s="37">
        <v>621</v>
      </c>
    </row>
    <row r="112" spans="1:3" ht="15" thickBot="1" x14ac:dyDescent="0.35">
      <c r="A112" s="36" t="s">
        <v>724</v>
      </c>
      <c r="B112" s="36" t="s">
        <v>1074</v>
      </c>
      <c r="C112" s="37">
        <v>618</v>
      </c>
    </row>
    <row r="113" spans="1:3" ht="15" thickBot="1" x14ac:dyDescent="0.35">
      <c r="A113" s="36" t="s">
        <v>1573</v>
      </c>
      <c r="B113" s="36" t="s">
        <v>1038</v>
      </c>
      <c r="C113" s="37">
        <v>616</v>
      </c>
    </row>
    <row r="114" spans="1:3" ht="15" thickBot="1" x14ac:dyDescent="0.35">
      <c r="A114" s="36" t="s">
        <v>430</v>
      </c>
      <c r="B114" s="36" t="s">
        <v>2473</v>
      </c>
      <c r="C114" s="37">
        <v>615</v>
      </c>
    </row>
    <row r="115" spans="1:3" ht="15" thickBot="1" x14ac:dyDescent="0.35">
      <c r="A115" s="36" t="s">
        <v>2059</v>
      </c>
      <c r="B115" s="36" t="s">
        <v>2060</v>
      </c>
      <c r="C115" s="37">
        <v>613</v>
      </c>
    </row>
    <row r="116" spans="1:3" ht="15" thickBot="1" x14ac:dyDescent="0.35">
      <c r="A116" s="36" t="s">
        <v>1603</v>
      </c>
      <c r="B116" s="36" t="s">
        <v>2474</v>
      </c>
      <c r="C116" s="37">
        <v>610</v>
      </c>
    </row>
    <row r="117" spans="1:3" ht="15" thickBot="1" x14ac:dyDescent="0.35">
      <c r="A117" s="36" t="s">
        <v>556</v>
      </c>
      <c r="B117" s="36" t="s">
        <v>2403</v>
      </c>
      <c r="C117" s="37">
        <v>608</v>
      </c>
    </row>
    <row r="118" spans="1:3" ht="15" thickBot="1" x14ac:dyDescent="0.35">
      <c r="A118" s="36" t="s">
        <v>1596</v>
      </c>
      <c r="B118" s="36" t="s">
        <v>1105</v>
      </c>
      <c r="C118" s="37">
        <v>606</v>
      </c>
    </row>
    <row r="119" spans="1:3" ht="15" thickBot="1" x14ac:dyDescent="0.35">
      <c r="A119" s="36" t="s">
        <v>396</v>
      </c>
      <c r="B119" s="36" t="s">
        <v>2475</v>
      </c>
      <c r="C119" s="37">
        <v>596</v>
      </c>
    </row>
    <row r="120" spans="1:3" ht="15" thickBot="1" x14ac:dyDescent="0.35">
      <c r="A120" s="36" t="s">
        <v>446</v>
      </c>
      <c r="B120" s="36" t="s">
        <v>1059</v>
      </c>
      <c r="C120" s="37">
        <v>596</v>
      </c>
    </row>
    <row r="121" spans="1:3" ht="15" thickBot="1" x14ac:dyDescent="0.35">
      <c r="A121" s="36" t="s">
        <v>1589</v>
      </c>
      <c r="B121" s="36" t="s">
        <v>1082</v>
      </c>
      <c r="C121" s="37">
        <v>589</v>
      </c>
    </row>
    <row r="122" spans="1:3" ht="15" thickBot="1" x14ac:dyDescent="0.35">
      <c r="A122" s="36" t="s">
        <v>374</v>
      </c>
      <c r="B122" s="36" t="s">
        <v>2122</v>
      </c>
      <c r="C122" s="37">
        <v>588</v>
      </c>
    </row>
    <row r="123" spans="1:3" ht="15" thickBot="1" x14ac:dyDescent="0.35">
      <c r="A123" s="36" t="s">
        <v>606</v>
      </c>
      <c r="B123" s="36" t="s">
        <v>2421</v>
      </c>
      <c r="C123" s="37">
        <v>588</v>
      </c>
    </row>
    <row r="124" spans="1:3" ht="15" thickBot="1" x14ac:dyDescent="0.35">
      <c r="A124" s="36" t="s">
        <v>498</v>
      </c>
      <c r="B124" s="36" t="s">
        <v>1027</v>
      </c>
      <c r="C124" s="37">
        <v>585</v>
      </c>
    </row>
    <row r="125" spans="1:3" ht="15" thickBot="1" x14ac:dyDescent="0.35">
      <c r="A125" s="36" t="s">
        <v>2174</v>
      </c>
      <c r="B125" s="36" t="s">
        <v>2408</v>
      </c>
      <c r="C125" s="37">
        <v>570</v>
      </c>
    </row>
    <row r="126" spans="1:3" ht="15" thickBot="1" x14ac:dyDescent="0.35">
      <c r="A126" s="36" t="s">
        <v>376</v>
      </c>
      <c r="B126" s="36" t="s">
        <v>2123</v>
      </c>
      <c r="C126" s="37">
        <v>566</v>
      </c>
    </row>
    <row r="127" spans="1:3" ht="15" thickBot="1" x14ac:dyDescent="0.35">
      <c r="A127" s="36" t="s">
        <v>590</v>
      </c>
      <c r="B127" s="36" t="s">
        <v>2476</v>
      </c>
      <c r="C127" s="37">
        <v>565</v>
      </c>
    </row>
    <row r="128" spans="1:3" ht="27.6" thickBot="1" x14ac:dyDescent="0.35">
      <c r="A128" s="36" t="s">
        <v>1583</v>
      </c>
      <c r="B128" s="36" t="s">
        <v>1066</v>
      </c>
      <c r="C128" s="37">
        <v>555</v>
      </c>
    </row>
    <row r="129" spans="1:3" ht="15" thickBot="1" x14ac:dyDescent="0.35">
      <c r="A129" s="36" t="s">
        <v>504</v>
      </c>
      <c r="B129" s="36" t="s">
        <v>2099</v>
      </c>
      <c r="C129" s="37">
        <v>555</v>
      </c>
    </row>
    <row r="130" spans="1:3" ht="15" thickBot="1" x14ac:dyDescent="0.35">
      <c r="A130" s="36"/>
      <c r="B130" s="36" t="s">
        <v>2004</v>
      </c>
      <c r="C130" s="37">
        <v>554</v>
      </c>
    </row>
    <row r="131" spans="1:3" ht="15" thickBot="1" x14ac:dyDescent="0.35">
      <c r="A131" s="36" t="s">
        <v>360</v>
      </c>
      <c r="B131" s="36" t="s">
        <v>1012</v>
      </c>
      <c r="C131" s="37">
        <v>551</v>
      </c>
    </row>
    <row r="132" spans="1:3" ht="15" thickBot="1" x14ac:dyDescent="0.35">
      <c r="A132" s="36" t="s">
        <v>398</v>
      </c>
      <c r="B132" s="36" t="s">
        <v>1144</v>
      </c>
      <c r="C132" s="37">
        <v>544</v>
      </c>
    </row>
    <row r="133" spans="1:3" ht="15" thickBot="1" x14ac:dyDescent="0.35">
      <c r="A133" s="36" t="s">
        <v>2058</v>
      </c>
      <c r="B133" s="36" t="s">
        <v>2477</v>
      </c>
      <c r="C133" s="37">
        <v>535</v>
      </c>
    </row>
    <row r="134" spans="1:3" ht="15" thickBot="1" x14ac:dyDescent="0.35">
      <c r="A134" s="36" t="s">
        <v>600</v>
      </c>
      <c r="B134" s="36" t="s">
        <v>1042</v>
      </c>
      <c r="C134" s="37">
        <v>533</v>
      </c>
    </row>
    <row r="135" spans="1:3" ht="15" thickBot="1" x14ac:dyDescent="0.35">
      <c r="A135" s="36" t="s">
        <v>440</v>
      </c>
      <c r="B135" s="36" t="s">
        <v>1057</v>
      </c>
      <c r="C135" s="37">
        <v>522</v>
      </c>
    </row>
    <row r="136" spans="1:3" ht="15" thickBot="1" x14ac:dyDescent="0.35">
      <c r="A136" s="36"/>
      <c r="B136" s="36" t="s">
        <v>2005</v>
      </c>
      <c r="C136" s="37">
        <v>515</v>
      </c>
    </row>
    <row r="137" spans="1:3" ht="15" thickBot="1" x14ac:dyDescent="0.35">
      <c r="A137" s="36" t="s">
        <v>2094</v>
      </c>
      <c r="B137" s="36" t="s">
        <v>2095</v>
      </c>
      <c r="C137" s="37">
        <v>509</v>
      </c>
    </row>
    <row r="138" spans="1:3" ht="15" thickBot="1" x14ac:dyDescent="0.35">
      <c r="A138" s="36" t="s">
        <v>2233</v>
      </c>
      <c r="B138" s="36" t="s">
        <v>2478</v>
      </c>
      <c r="C138" s="37">
        <v>509</v>
      </c>
    </row>
    <row r="139" spans="1:3" ht="27.6" thickBot="1" x14ac:dyDescent="0.35">
      <c r="A139" s="36" t="s">
        <v>1572</v>
      </c>
      <c r="B139" s="36" t="s">
        <v>1033</v>
      </c>
      <c r="C139" s="37">
        <v>505</v>
      </c>
    </row>
    <row r="140" spans="1:3" ht="15" thickBot="1" x14ac:dyDescent="0.35">
      <c r="A140" s="36" t="s">
        <v>1582</v>
      </c>
      <c r="B140" s="36" t="s">
        <v>1058</v>
      </c>
      <c r="C140" s="37">
        <v>503</v>
      </c>
    </row>
    <row r="141" spans="1:3" ht="15" thickBot="1" x14ac:dyDescent="0.35">
      <c r="A141" s="36" t="s">
        <v>1580</v>
      </c>
      <c r="B141" s="36" t="s">
        <v>1056</v>
      </c>
      <c r="C141" s="37">
        <v>500</v>
      </c>
    </row>
    <row r="142" spans="1:3" ht="15" thickBot="1" x14ac:dyDescent="0.35">
      <c r="A142" s="36"/>
      <c r="B142" s="36" t="s">
        <v>2479</v>
      </c>
      <c r="C142" s="37">
        <v>487</v>
      </c>
    </row>
    <row r="143" spans="1:3" ht="15" thickBot="1" x14ac:dyDescent="0.35">
      <c r="A143" s="36" t="s">
        <v>834</v>
      </c>
      <c r="B143" s="36" t="s">
        <v>2422</v>
      </c>
      <c r="C143" s="37">
        <v>486</v>
      </c>
    </row>
    <row r="144" spans="1:3" ht="15" thickBot="1" x14ac:dyDescent="0.35">
      <c r="A144" s="36" t="s">
        <v>678</v>
      </c>
      <c r="B144" s="36" t="s">
        <v>1090</v>
      </c>
      <c r="C144" s="37">
        <v>482</v>
      </c>
    </row>
    <row r="145" spans="1:3" ht="15" thickBot="1" x14ac:dyDescent="0.35">
      <c r="A145" s="36" t="s">
        <v>592</v>
      </c>
      <c r="B145" s="36" t="s">
        <v>1141</v>
      </c>
      <c r="C145" s="37">
        <v>481</v>
      </c>
    </row>
    <row r="146" spans="1:3" ht="15" thickBot="1" x14ac:dyDescent="0.35">
      <c r="A146" s="36" t="s">
        <v>438</v>
      </c>
      <c r="B146" s="36" t="s">
        <v>1213</v>
      </c>
      <c r="C146" s="37">
        <v>473</v>
      </c>
    </row>
    <row r="147" spans="1:3" ht="15" thickBot="1" x14ac:dyDescent="0.35">
      <c r="A147" s="36" t="s">
        <v>2342</v>
      </c>
      <c r="B147" s="36" t="s">
        <v>2480</v>
      </c>
      <c r="C147" s="37">
        <v>473</v>
      </c>
    </row>
    <row r="148" spans="1:3" ht="15" thickBot="1" x14ac:dyDescent="0.35">
      <c r="A148" s="36" t="s">
        <v>408</v>
      </c>
      <c r="B148" s="36" t="s">
        <v>2385</v>
      </c>
      <c r="C148" s="37">
        <v>472</v>
      </c>
    </row>
    <row r="149" spans="1:3" ht="15" thickBot="1" x14ac:dyDescent="0.35">
      <c r="A149" s="36" t="s">
        <v>482</v>
      </c>
      <c r="B149" s="36" t="s">
        <v>1978</v>
      </c>
      <c r="C149" s="37">
        <v>470</v>
      </c>
    </row>
    <row r="150" spans="1:3" ht="15" thickBot="1" x14ac:dyDescent="0.35">
      <c r="A150" s="36" t="s">
        <v>718</v>
      </c>
      <c r="B150" s="36" t="s">
        <v>1076</v>
      </c>
      <c r="C150" s="37">
        <v>468</v>
      </c>
    </row>
    <row r="151" spans="1:3" ht="15" thickBot="1" x14ac:dyDescent="0.35">
      <c r="A151" s="36" t="s">
        <v>888</v>
      </c>
      <c r="B151" s="36" t="s">
        <v>1108</v>
      </c>
      <c r="C151" s="37">
        <v>468</v>
      </c>
    </row>
    <row r="152" spans="1:3" ht="15" thickBot="1" x14ac:dyDescent="0.35">
      <c r="A152" s="36" t="s">
        <v>1986</v>
      </c>
      <c r="B152" s="36" t="s">
        <v>2481</v>
      </c>
      <c r="C152" s="37">
        <v>458</v>
      </c>
    </row>
    <row r="153" spans="1:3" ht="15" thickBot="1" x14ac:dyDescent="0.35">
      <c r="A153" s="36" t="s">
        <v>802</v>
      </c>
      <c r="B153" s="36" t="s">
        <v>1109</v>
      </c>
      <c r="C153" s="37">
        <v>456</v>
      </c>
    </row>
    <row r="154" spans="1:3" ht="15" thickBot="1" x14ac:dyDescent="0.35">
      <c r="A154" s="36" t="s">
        <v>494</v>
      </c>
      <c r="B154" s="36" t="s">
        <v>1031</v>
      </c>
      <c r="C154" s="37">
        <v>454</v>
      </c>
    </row>
    <row r="155" spans="1:3" ht="15" thickBot="1" x14ac:dyDescent="0.35">
      <c r="A155" s="36" t="s">
        <v>1570</v>
      </c>
      <c r="B155" s="36" t="s">
        <v>2482</v>
      </c>
      <c r="C155" s="37">
        <v>448</v>
      </c>
    </row>
    <row r="156" spans="1:3" ht="15" thickBot="1" x14ac:dyDescent="0.35">
      <c r="A156" s="36" t="s">
        <v>808</v>
      </c>
      <c r="B156" s="36" t="s">
        <v>1030</v>
      </c>
      <c r="C156" s="37">
        <v>447</v>
      </c>
    </row>
    <row r="157" spans="1:3" ht="15" thickBot="1" x14ac:dyDescent="0.35">
      <c r="A157" s="36" t="s">
        <v>492</v>
      </c>
      <c r="B157" s="36" t="s">
        <v>1046</v>
      </c>
      <c r="C157" s="37">
        <v>447</v>
      </c>
    </row>
    <row r="158" spans="1:3" ht="15" thickBot="1" x14ac:dyDescent="0.35">
      <c r="A158" s="36" t="s">
        <v>584</v>
      </c>
      <c r="B158" s="36" t="s">
        <v>1104</v>
      </c>
      <c r="C158" s="37">
        <v>446</v>
      </c>
    </row>
    <row r="159" spans="1:3" ht="15" thickBot="1" x14ac:dyDescent="0.35">
      <c r="A159" s="36" t="s">
        <v>456</v>
      </c>
      <c r="B159" s="36" t="s">
        <v>2400</v>
      </c>
      <c r="C159" s="37">
        <v>444</v>
      </c>
    </row>
    <row r="160" spans="1:3" ht="15" thickBot="1" x14ac:dyDescent="0.35">
      <c r="A160" s="36" t="s">
        <v>326</v>
      </c>
      <c r="B160" s="36" t="s">
        <v>1203</v>
      </c>
      <c r="C160" s="37">
        <v>442</v>
      </c>
    </row>
    <row r="161" spans="1:3" ht="15" thickBot="1" x14ac:dyDescent="0.35">
      <c r="A161" s="36" t="s">
        <v>2171</v>
      </c>
      <c r="B161" s="36" t="s">
        <v>2483</v>
      </c>
      <c r="C161" s="37">
        <v>437</v>
      </c>
    </row>
    <row r="162" spans="1:3" ht="15" thickBot="1" x14ac:dyDescent="0.35">
      <c r="A162" s="36"/>
      <c r="B162" s="36" t="s">
        <v>2484</v>
      </c>
      <c r="C162" s="37">
        <v>431</v>
      </c>
    </row>
    <row r="163" spans="1:3" ht="15" thickBot="1" x14ac:dyDescent="0.35">
      <c r="A163" s="36" t="s">
        <v>2335</v>
      </c>
      <c r="B163" s="36" t="s">
        <v>2485</v>
      </c>
      <c r="C163" s="37">
        <v>429</v>
      </c>
    </row>
    <row r="164" spans="1:3" ht="15" thickBot="1" x14ac:dyDescent="0.35">
      <c r="A164" s="36" t="s">
        <v>1787</v>
      </c>
      <c r="B164" s="36" t="s">
        <v>1361</v>
      </c>
      <c r="C164" s="37">
        <v>427</v>
      </c>
    </row>
    <row r="165" spans="1:3" ht="15" thickBot="1" x14ac:dyDescent="0.35">
      <c r="A165" s="36" t="s">
        <v>2319</v>
      </c>
      <c r="B165" s="36" t="s">
        <v>2486</v>
      </c>
      <c r="C165" s="37">
        <v>425</v>
      </c>
    </row>
    <row r="166" spans="1:3" ht="15" thickBot="1" x14ac:dyDescent="0.35">
      <c r="A166" s="36" t="s">
        <v>2125</v>
      </c>
      <c r="B166" s="36" t="s">
        <v>2126</v>
      </c>
      <c r="C166" s="37">
        <v>423</v>
      </c>
    </row>
    <row r="167" spans="1:3" ht="15" thickBot="1" x14ac:dyDescent="0.35">
      <c r="A167" s="36" t="s">
        <v>422</v>
      </c>
      <c r="B167" s="36" t="s">
        <v>2386</v>
      </c>
      <c r="C167" s="37">
        <v>419</v>
      </c>
    </row>
    <row r="168" spans="1:3" ht="15" thickBot="1" x14ac:dyDescent="0.35">
      <c r="A168" s="36" t="s">
        <v>1599</v>
      </c>
      <c r="B168" s="36" t="s">
        <v>2487</v>
      </c>
      <c r="C168" s="37">
        <v>410</v>
      </c>
    </row>
    <row r="169" spans="1:3" ht="15" thickBot="1" x14ac:dyDescent="0.35">
      <c r="A169" s="36" t="s">
        <v>798</v>
      </c>
      <c r="B169" s="36" t="s">
        <v>1085</v>
      </c>
      <c r="C169" s="37">
        <v>409</v>
      </c>
    </row>
    <row r="170" spans="1:3" ht="27.6" thickBot="1" x14ac:dyDescent="0.35">
      <c r="A170" s="36" t="s">
        <v>644</v>
      </c>
      <c r="B170" s="36" t="s">
        <v>1023</v>
      </c>
      <c r="C170" s="37">
        <v>405</v>
      </c>
    </row>
    <row r="171" spans="1:3" ht="15" thickBot="1" x14ac:dyDescent="0.35">
      <c r="A171" s="36" t="s">
        <v>390</v>
      </c>
      <c r="B171" s="36" t="s">
        <v>1052</v>
      </c>
      <c r="C171" s="37">
        <v>401</v>
      </c>
    </row>
    <row r="172" spans="1:3" ht="15" thickBot="1" x14ac:dyDescent="0.35">
      <c r="A172" s="36" t="s">
        <v>2100</v>
      </c>
      <c r="B172" s="36" t="s">
        <v>2101</v>
      </c>
      <c r="C172" s="37">
        <v>400</v>
      </c>
    </row>
    <row r="173" spans="1:3" ht="15" thickBot="1" x14ac:dyDescent="0.35">
      <c r="A173" s="36" t="s">
        <v>324</v>
      </c>
      <c r="B173" s="36" t="s">
        <v>2105</v>
      </c>
      <c r="C173" s="37">
        <v>399</v>
      </c>
    </row>
    <row r="174" spans="1:3" ht="15" thickBot="1" x14ac:dyDescent="0.35">
      <c r="A174" s="36" t="s">
        <v>870</v>
      </c>
      <c r="B174" s="36" t="s">
        <v>1061</v>
      </c>
      <c r="C174" s="37">
        <v>394</v>
      </c>
    </row>
    <row r="175" spans="1:3" ht="15" thickBot="1" x14ac:dyDescent="0.35">
      <c r="A175" s="36" t="s">
        <v>708</v>
      </c>
      <c r="B175" s="36" t="s">
        <v>1166</v>
      </c>
      <c r="C175" s="37">
        <v>389</v>
      </c>
    </row>
    <row r="176" spans="1:3" ht="15" thickBot="1" x14ac:dyDescent="0.35">
      <c r="A176" s="36" t="s">
        <v>524</v>
      </c>
      <c r="B176" s="36" t="s">
        <v>1070</v>
      </c>
      <c r="C176" s="37">
        <v>379</v>
      </c>
    </row>
    <row r="177" spans="1:3" ht="15" thickBot="1" x14ac:dyDescent="0.35">
      <c r="A177" s="36" t="s">
        <v>2261</v>
      </c>
      <c r="B177" s="36" t="s">
        <v>2488</v>
      </c>
      <c r="C177" s="37">
        <v>379</v>
      </c>
    </row>
    <row r="178" spans="1:3" ht="15" thickBot="1" x14ac:dyDescent="0.35">
      <c r="A178" s="36" t="s">
        <v>366</v>
      </c>
      <c r="B178" s="36" t="s">
        <v>2387</v>
      </c>
      <c r="C178" s="37">
        <v>379</v>
      </c>
    </row>
    <row r="179" spans="1:3" ht="15" thickBot="1" x14ac:dyDescent="0.35">
      <c r="A179" s="36" t="s">
        <v>1608</v>
      </c>
      <c r="B179" s="36" t="s">
        <v>1124</v>
      </c>
      <c r="C179" s="37">
        <v>377</v>
      </c>
    </row>
    <row r="180" spans="1:3" ht="15" thickBot="1" x14ac:dyDescent="0.35">
      <c r="A180" s="36" t="s">
        <v>2489</v>
      </c>
      <c r="B180" s="36" t="s">
        <v>2490</v>
      </c>
      <c r="C180" s="37">
        <v>369</v>
      </c>
    </row>
    <row r="181" spans="1:3" ht="15" thickBot="1" x14ac:dyDescent="0.35">
      <c r="A181" s="36" t="s">
        <v>818</v>
      </c>
      <c r="B181" s="36" t="s">
        <v>1102</v>
      </c>
      <c r="C181" s="37">
        <v>366</v>
      </c>
    </row>
    <row r="182" spans="1:3" ht="15" thickBot="1" x14ac:dyDescent="0.35">
      <c r="A182" s="36" t="s">
        <v>1587</v>
      </c>
      <c r="B182" s="36" t="s">
        <v>1075</v>
      </c>
      <c r="C182" s="37">
        <v>363</v>
      </c>
    </row>
    <row r="183" spans="1:3" ht="15" thickBot="1" x14ac:dyDescent="0.35">
      <c r="A183" s="36" t="s">
        <v>352</v>
      </c>
      <c r="B183" s="36" t="s">
        <v>2131</v>
      </c>
      <c r="C183" s="37">
        <v>357</v>
      </c>
    </row>
    <row r="184" spans="1:3" ht="15" thickBot="1" x14ac:dyDescent="0.35">
      <c r="A184" s="36" t="s">
        <v>822</v>
      </c>
      <c r="B184" s="36" t="s">
        <v>1133</v>
      </c>
      <c r="C184" s="37">
        <v>355</v>
      </c>
    </row>
    <row r="185" spans="1:3" ht="15" thickBot="1" x14ac:dyDescent="0.35">
      <c r="A185" s="36" t="s">
        <v>2149</v>
      </c>
      <c r="B185" s="36" t="s">
        <v>2150</v>
      </c>
      <c r="C185" s="37">
        <v>351</v>
      </c>
    </row>
    <row r="186" spans="1:3" ht="15" thickBot="1" x14ac:dyDescent="0.35">
      <c r="A186" s="36" t="s">
        <v>686</v>
      </c>
      <c r="B186" s="36" t="s">
        <v>1091</v>
      </c>
      <c r="C186" s="37">
        <v>351</v>
      </c>
    </row>
    <row r="187" spans="1:3" ht="15" thickBot="1" x14ac:dyDescent="0.35">
      <c r="A187" s="36" t="s">
        <v>782</v>
      </c>
      <c r="B187" s="36" t="s">
        <v>2389</v>
      </c>
      <c r="C187" s="37">
        <v>349</v>
      </c>
    </row>
    <row r="188" spans="1:3" ht="15" thickBot="1" x14ac:dyDescent="0.35">
      <c r="A188" s="36" t="s">
        <v>332</v>
      </c>
      <c r="B188" s="36" t="s">
        <v>2130</v>
      </c>
      <c r="C188" s="37">
        <v>348</v>
      </c>
    </row>
    <row r="189" spans="1:3" ht="15" thickBot="1" x14ac:dyDescent="0.35">
      <c r="A189" s="36" t="s">
        <v>2299</v>
      </c>
      <c r="B189" s="36" t="s">
        <v>2429</v>
      </c>
      <c r="C189" s="37">
        <v>348</v>
      </c>
    </row>
    <row r="190" spans="1:3" ht="15" thickBot="1" x14ac:dyDescent="0.35">
      <c r="A190" s="36"/>
      <c r="B190" s="36" t="s">
        <v>2063</v>
      </c>
      <c r="C190" s="37">
        <v>347</v>
      </c>
    </row>
    <row r="191" spans="1:3" ht="15" thickBot="1" x14ac:dyDescent="0.35">
      <c r="A191" s="36" t="s">
        <v>1635</v>
      </c>
      <c r="B191" s="36" t="s">
        <v>1187</v>
      </c>
      <c r="C191" s="37">
        <v>347</v>
      </c>
    </row>
    <row r="192" spans="1:3" ht="15" thickBot="1" x14ac:dyDescent="0.35">
      <c r="A192" s="36" t="s">
        <v>622</v>
      </c>
      <c r="B192" s="36" t="s">
        <v>1072</v>
      </c>
      <c r="C192" s="37">
        <v>344</v>
      </c>
    </row>
    <row r="193" spans="1:3" ht="15" thickBot="1" x14ac:dyDescent="0.35">
      <c r="A193" s="36" t="s">
        <v>704</v>
      </c>
      <c r="B193" s="36" t="s">
        <v>2012</v>
      </c>
      <c r="C193" s="37">
        <v>343</v>
      </c>
    </row>
    <row r="194" spans="1:3" ht="15" thickBot="1" x14ac:dyDescent="0.35">
      <c r="A194" s="36" t="s">
        <v>862</v>
      </c>
      <c r="B194" s="36" t="s">
        <v>1193</v>
      </c>
      <c r="C194" s="37">
        <v>340</v>
      </c>
    </row>
    <row r="195" spans="1:3" ht="15" thickBot="1" x14ac:dyDescent="0.35">
      <c r="A195" s="36" t="s">
        <v>692</v>
      </c>
      <c r="B195" s="36" t="s">
        <v>2096</v>
      </c>
      <c r="C195" s="37">
        <v>337</v>
      </c>
    </row>
    <row r="196" spans="1:3" ht="27.6" thickBot="1" x14ac:dyDescent="0.35">
      <c r="A196" s="36" t="s">
        <v>876</v>
      </c>
      <c r="B196" s="36" t="s">
        <v>1060</v>
      </c>
      <c r="C196" s="37">
        <v>337</v>
      </c>
    </row>
    <row r="197" spans="1:3" ht="15" thickBot="1" x14ac:dyDescent="0.35">
      <c r="A197" s="36"/>
      <c r="B197" s="36" t="s">
        <v>2006</v>
      </c>
      <c r="C197" s="37">
        <v>334</v>
      </c>
    </row>
    <row r="198" spans="1:3" ht="15" thickBot="1" x14ac:dyDescent="0.35">
      <c r="A198" s="36" t="s">
        <v>660</v>
      </c>
      <c r="B198" s="36" t="s">
        <v>1077</v>
      </c>
      <c r="C198" s="37">
        <v>333</v>
      </c>
    </row>
    <row r="199" spans="1:3" ht="15" thickBot="1" x14ac:dyDescent="0.35">
      <c r="A199" s="36" t="s">
        <v>552</v>
      </c>
      <c r="B199" s="36" t="s">
        <v>1097</v>
      </c>
      <c r="C199" s="37">
        <v>333</v>
      </c>
    </row>
    <row r="200" spans="1:3" ht="15" thickBot="1" x14ac:dyDescent="0.35">
      <c r="A200" s="36" t="s">
        <v>1732</v>
      </c>
      <c r="B200" s="36" t="s">
        <v>1301</v>
      </c>
      <c r="C200" s="37">
        <v>333</v>
      </c>
    </row>
    <row r="201" spans="1:3" ht="15" thickBot="1" x14ac:dyDescent="0.35">
      <c r="A201" s="36" t="s">
        <v>1590</v>
      </c>
      <c r="B201" s="36" t="s">
        <v>1086</v>
      </c>
      <c r="C201" s="37">
        <v>328</v>
      </c>
    </row>
    <row r="202" spans="1:3" ht="15" thickBot="1" x14ac:dyDescent="0.35">
      <c r="A202" s="36" t="s">
        <v>596</v>
      </c>
      <c r="B202" s="36" t="s">
        <v>1156</v>
      </c>
      <c r="C202" s="37">
        <v>328</v>
      </c>
    </row>
    <row r="203" spans="1:3" ht="15" thickBot="1" x14ac:dyDescent="0.35">
      <c r="A203" s="36"/>
      <c r="B203" s="36" t="s">
        <v>2491</v>
      </c>
      <c r="C203" s="37">
        <v>325</v>
      </c>
    </row>
    <row r="204" spans="1:3" ht="15" thickBot="1" x14ac:dyDescent="0.35">
      <c r="A204" s="36"/>
      <c r="B204" s="36" t="s">
        <v>2492</v>
      </c>
      <c r="C204" s="37">
        <v>323</v>
      </c>
    </row>
    <row r="205" spans="1:3" ht="15" thickBot="1" x14ac:dyDescent="0.35">
      <c r="A205" s="36" t="s">
        <v>832</v>
      </c>
      <c r="B205" s="36" t="s">
        <v>1222</v>
      </c>
      <c r="C205" s="37">
        <v>322</v>
      </c>
    </row>
    <row r="206" spans="1:3" ht="15" thickBot="1" x14ac:dyDescent="0.35">
      <c r="A206" s="36" t="s">
        <v>1584</v>
      </c>
      <c r="B206" s="36" t="s">
        <v>1067</v>
      </c>
      <c r="C206" s="37">
        <v>322</v>
      </c>
    </row>
    <row r="207" spans="1:3" ht="15" thickBot="1" x14ac:dyDescent="0.35">
      <c r="A207" s="36" t="s">
        <v>626</v>
      </c>
      <c r="B207" s="36" t="s">
        <v>1126</v>
      </c>
      <c r="C207" s="37">
        <v>320</v>
      </c>
    </row>
    <row r="208" spans="1:3" ht="27.6" thickBot="1" x14ac:dyDescent="0.35">
      <c r="A208" s="36" t="s">
        <v>670</v>
      </c>
      <c r="B208" s="36" t="s">
        <v>1017</v>
      </c>
      <c r="C208" s="37">
        <v>320</v>
      </c>
    </row>
    <row r="209" spans="1:3" ht="15" thickBot="1" x14ac:dyDescent="0.35">
      <c r="A209" s="36" t="s">
        <v>654</v>
      </c>
      <c r="B209" s="36" t="s">
        <v>1131</v>
      </c>
      <c r="C209" s="37">
        <v>319</v>
      </c>
    </row>
    <row r="210" spans="1:3" ht="15" thickBot="1" x14ac:dyDescent="0.35">
      <c r="A210" s="36" t="s">
        <v>786</v>
      </c>
      <c r="B210" s="36" t="s">
        <v>1092</v>
      </c>
      <c r="C210" s="37">
        <v>319</v>
      </c>
    </row>
    <row r="211" spans="1:3" ht="15" thickBot="1" x14ac:dyDescent="0.35">
      <c r="A211" s="36" t="s">
        <v>420</v>
      </c>
      <c r="B211" s="36" t="s">
        <v>2493</v>
      </c>
      <c r="C211" s="37">
        <v>318</v>
      </c>
    </row>
    <row r="212" spans="1:3" ht="15" thickBot="1" x14ac:dyDescent="0.35">
      <c r="A212" s="36" t="s">
        <v>2273</v>
      </c>
      <c r="B212" s="36" t="s">
        <v>2494</v>
      </c>
      <c r="C212" s="37">
        <v>317</v>
      </c>
    </row>
    <row r="213" spans="1:3" ht="15" thickBot="1" x14ac:dyDescent="0.35">
      <c r="A213" s="36" t="s">
        <v>464</v>
      </c>
      <c r="B213" s="36" t="s">
        <v>1123</v>
      </c>
      <c r="C213" s="37">
        <v>316</v>
      </c>
    </row>
    <row r="214" spans="1:3" ht="15" thickBot="1" x14ac:dyDescent="0.35">
      <c r="A214" s="36" t="s">
        <v>816</v>
      </c>
      <c r="B214" s="36" t="s">
        <v>2405</v>
      </c>
      <c r="C214" s="37">
        <v>313</v>
      </c>
    </row>
    <row r="215" spans="1:3" ht="15" thickBot="1" x14ac:dyDescent="0.35">
      <c r="A215" s="36" t="s">
        <v>518</v>
      </c>
      <c r="B215" s="36" t="s">
        <v>1132</v>
      </c>
      <c r="C215" s="37">
        <v>313</v>
      </c>
    </row>
    <row r="216" spans="1:3" ht="15" thickBot="1" x14ac:dyDescent="0.35">
      <c r="A216" s="36" t="s">
        <v>570</v>
      </c>
      <c r="B216" s="36" t="s">
        <v>2409</v>
      </c>
      <c r="C216" s="37">
        <v>309</v>
      </c>
    </row>
    <row r="217" spans="1:3" ht="15" thickBot="1" x14ac:dyDescent="0.35">
      <c r="A217" s="36" t="s">
        <v>674</v>
      </c>
      <c r="B217" s="36" t="s">
        <v>1116</v>
      </c>
      <c r="C217" s="37">
        <v>307</v>
      </c>
    </row>
    <row r="218" spans="1:3" ht="15" thickBot="1" x14ac:dyDescent="0.35">
      <c r="A218" s="36" t="s">
        <v>566</v>
      </c>
      <c r="B218" s="36" t="s">
        <v>1162</v>
      </c>
      <c r="C218" s="37">
        <v>305</v>
      </c>
    </row>
    <row r="219" spans="1:3" ht="15" thickBot="1" x14ac:dyDescent="0.35">
      <c r="A219" s="36" t="s">
        <v>1640</v>
      </c>
      <c r="B219" s="36" t="s">
        <v>1192</v>
      </c>
      <c r="C219" s="37">
        <v>303</v>
      </c>
    </row>
    <row r="220" spans="1:3" ht="15" thickBot="1" x14ac:dyDescent="0.35">
      <c r="A220" s="36" t="s">
        <v>1592</v>
      </c>
      <c r="B220" s="36" t="s">
        <v>1089</v>
      </c>
      <c r="C220" s="37">
        <v>303</v>
      </c>
    </row>
    <row r="221" spans="1:3" ht="15" thickBot="1" x14ac:dyDescent="0.35">
      <c r="A221" s="36" t="s">
        <v>530</v>
      </c>
      <c r="B221" s="36" t="s">
        <v>1037</v>
      </c>
      <c r="C221" s="37">
        <v>302</v>
      </c>
    </row>
    <row r="222" spans="1:3" ht="27.6" thickBot="1" x14ac:dyDescent="0.35">
      <c r="A222" s="36" t="s">
        <v>1575</v>
      </c>
      <c r="B222" s="36" t="s">
        <v>1043</v>
      </c>
      <c r="C222" s="37">
        <v>302</v>
      </c>
    </row>
    <row r="223" spans="1:3" ht="15" thickBot="1" x14ac:dyDescent="0.35">
      <c r="A223" s="36"/>
      <c r="B223" s="36" t="s">
        <v>2007</v>
      </c>
      <c r="C223" s="37">
        <v>301</v>
      </c>
    </row>
    <row r="224" spans="1:3" ht="15" thickBot="1" x14ac:dyDescent="0.35">
      <c r="A224" s="36" t="s">
        <v>500</v>
      </c>
      <c r="B224" s="36" t="s">
        <v>1112</v>
      </c>
      <c r="C224" s="37">
        <v>297</v>
      </c>
    </row>
    <row r="225" spans="1:3" ht="15" thickBot="1" x14ac:dyDescent="0.35">
      <c r="A225" s="36" t="s">
        <v>432</v>
      </c>
      <c r="B225" s="36" t="s">
        <v>1081</v>
      </c>
      <c r="C225" s="37">
        <v>297</v>
      </c>
    </row>
    <row r="226" spans="1:3" ht="15" thickBot="1" x14ac:dyDescent="0.35">
      <c r="A226" s="36" t="s">
        <v>512</v>
      </c>
      <c r="B226" s="36" t="s">
        <v>2495</v>
      </c>
      <c r="C226" s="37">
        <v>296</v>
      </c>
    </row>
    <row r="227" spans="1:3" ht="15" thickBot="1" x14ac:dyDescent="0.35">
      <c r="A227" s="36" t="s">
        <v>1574</v>
      </c>
      <c r="B227" s="36" t="s">
        <v>1041</v>
      </c>
      <c r="C227" s="37">
        <v>296</v>
      </c>
    </row>
    <row r="228" spans="1:3" ht="15" thickBot="1" x14ac:dyDescent="0.35">
      <c r="A228" s="36" t="s">
        <v>1581</v>
      </c>
      <c r="B228" s="36" t="s">
        <v>2496</v>
      </c>
      <c r="C228" s="37">
        <v>295</v>
      </c>
    </row>
    <row r="229" spans="1:3" ht="15" thickBot="1" x14ac:dyDescent="0.35">
      <c r="A229" s="36" t="s">
        <v>1629</v>
      </c>
      <c r="B229" s="36" t="s">
        <v>1177</v>
      </c>
      <c r="C229" s="37">
        <v>292</v>
      </c>
    </row>
    <row r="230" spans="1:3" ht="15" thickBot="1" x14ac:dyDescent="0.35">
      <c r="A230" s="36"/>
      <c r="B230" s="36" t="s">
        <v>2380</v>
      </c>
      <c r="C230" s="37">
        <v>291</v>
      </c>
    </row>
    <row r="231" spans="1:3" ht="15" thickBot="1" x14ac:dyDescent="0.35">
      <c r="A231" s="36" t="s">
        <v>2346</v>
      </c>
      <c r="B231" s="36" t="s">
        <v>2497</v>
      </c>
      <c r="C231" s="37">
        <v>289</v>
      </c>
    </row>
    <row r="232" spans="1:3" ht="15" thickBot="1" x14ac:dyDescent="0.35">
      <c r="A232" s="36" t="s">
        <v>1617</v>
      </c>
      <c r="B232" s="36" t="s">
        <v>1153</v>
      </c>
      <c r="C232" s="37">
        <v>289</v>
      </c>
    </row>
    <row r="233" spans="1:3" ht="15" thickBot="1" x14ac:dyDescent="0.35">
      <c r="A233" s="36" t="s">
        <v>1785</v>
      </c>
      <c r="B233" s="36" t="s">
        <v>1359</v>
      </c>
      <c r="C233" s="37">
        <v>289</v>
      </c>
    </row>
    <row r="234" spans="1:3" ht="15" thickBot="1" x14ac:dyDescent="0.35">
      <c r="A234" s="36" t="s">
        <v>716</v>
      </c>
      <c r="B234" s="36" t="s">
        <v>2437</v>
      </c>
      <c r="C234" s="37">
        <v>288</v>
      </c>
    </row>
    <row r="235" spans="1:3" ht="15" thickBot="1" x14ac:dyDescent="0.35">
      <c r="A235" s="36" t="s">
        <v>824</v>
      </c>
      <c r="B235" s="36" t="s">
        <v>1107</v>
      </c>
      <c r="C235" s="37">
        <v>288</v>
      </c>
    </row>
    <row r="236" spans="1:3" ht="15" thickBot="1" x14ac:dyDescent="0.35">
      <c r="A236" s="36" t="s">
        <v>1830</v>
      </c>
      <c r="B236" s="36" t="s">
        <v>2498</v>
      </c>
      <c r="C236" s="37">
        <v>287</v>
      </c>
    </row>
    <row r="237" spans="1:3" ht="15" thickBot="1" x14ac:dyDescent="0.35">
      <c r="A237" s="36"/>
      <c r="B237" s="36" t="s">
        <v>1094</v>
      </c>
      <c r="C237" s="37">
        <v>287</v>
      </c>
    </row>
    <row r="238" spans="1:3" ht="15" thickBot="1" x14ac:dyDescent="0.35">
      <c r="A238" s="36" t="s">
        <v>744</v>
      </c>
      <c r="B238" s="36" t="s">
        <v>1111</v>
      </c>
      <c r="C238" s="37">
        <v>285</v>
      </c>
    </row>
    <row r="239" spans="1:3" ht="15" thickBot="1" x14ac:dyDescent="0.35">
      <c r="A239" s="36" t="s">
        <v>2010</v>
      </c>
      <c r="B239" s="36" t="s">
        <v>2011</v>
      </c>
      <c r="C239" s="37">
        <v>284</v>
      </c>
    </row>
    <row r="240" spans="1:3" ht="15" thickBot="1" x14ac:dyDescent="0.35">
      <c r="A240" s="36" t="s">
        <v>458</v>
      </c>
      <c r="B240" s="36" t="s">
        <v>2017</v>
      </c>
      <c r="C240" s="37">
        <v>282</v>
      </c>
    </row>
    <row r="241" spans="1:3" ht="15" thickBot="1" x14ac:dyDescent="0.35">
      <c r="A241" s="36" t="s">
        <v>2253</v>
      </c>
      <c r="B241" s="36" t="s">
        <v>2440</v>
      </c>
      <c r="C241" s="37">
        <v>279</v>
      </c>
    </row>
    <row r="242" spans="1:3" ht="15" thickBot="1" x14ac:dyDescent="0.35">
      <c r="A242" s="36" t="s">
        <v>1576</v>
      </c>
      <c r="B242" s="36" t="s">
        <v>1049</v>
      </c>
      <c r="C242" s="37">
        <v>278</v>
      </c>
    </row>
    <row r="243" spans="1:3" ht="15" thickBot="1" x14ac:dyDescent="0.35">
      <c r="A243" s="36" t="s">
        <v>632</v>
      </c>
      <c r="B243" s="36" t="s">
        <v>1152</v>
      </c>
      <c r="C243" s="37">
        <v>278</v>
      </c>
    </row>
    <row r="244" spans="1:3" ht="15" thickBot="1" x14ac:dyDescent="0.35">
      <c r="A244" s="36" t="s">
        <v>472</v>
      </c>
      <c r="B244" s="36" t="s">
        <v>2102</v>
      </c>
      <c r="C244" s="37">
        <v>269</v>
      </c>
    </row>
    <row r="245" spans="1:3" ht="15" thickBot="1" x14ac:dyDescent="0.35">
      <c r="A245" s="36" t="s">
        <v>1682</v>
      </c>
      <c r="B245" s="36" t="s">
        <v>1243</v>
      </c>
      <c r="C245" s="37">
        <v>265</v>
      </c>
    </row>
    <row r="246" spans="1:3" ht="15" thickBot="1" x14ac:dyDescent="0.35">
      <c r="A246" s="36" t="s">
        <v>1609</v>
      </c>
      <c r="B246" s="36" t="s">
        <v>1127</v>
      </c>
      <c r="C246" s="37">
        <v>264</v>
      </c>
    </row>
    <row r="247" spans="1:3" ht="15" thickBot="1" x14ac:dyDescent="0.35">
      <c r="A247" s="36" t="s">
        <v>1593</v>
      </c>
      <c r="B247" s="36" t="s">
        <v>1101</v>
      </c>
      <c r="C247" s="37">
        <v>264</v>
      </c>
    </row>
    <row r="248" spans="1:3" ht="15" thickBot="1" x14ac:dyDescent="0.35">
      <c r="A248" s="36" t="s">
        <v>394</v>
      </c>
      <c r="B248" s="36" t="s">
        <v>1175</v>
      </c>
      <c r="C248" s="37">
        <v>260</v>
      </c>
    </row>
    <row r="249" spans="1:3" ht="15" thickBot="1" x14ac:dyDescent="0.35">
      <c r="A249" s="36" t="s">
        <v>364</v>
      </c>
      <c r="B249" s="36" t="s">
        <v>1134</v>
      </c>
      <c r="C249" s="37">
        <v>256</v>
      </c>
    </row>
    <row r="250" spans="1:3" ht="15" thickBot="1" x14ac:dyDescent="0.35">
      <c r="A250" s="36" t="s">
        <v>726</v>
      </c>
      <c r="B250" s="36" t="s">
        <v>2393</v>
      </c>
      <c r="C250" s="37">
        <v>248</v>
      </c>
    </row>
    <row r="251" spans="1:3" ht="15" thickBot="1" x14ac:dyDescent="0.35">
      <c r="A251" s="36" t="s">
        <v>2216</v>
      </c>
      <c r="B251" s="36" t="s">
        <v>2419</v>
      </c>
      <c r="C251" s="37">
        <v>247</v>
      </c>
    </row>
    <row r="252" spans="1:3" ht="15" thickBot="1" x14ac:dyDescent="0.35">
      <c r="A252" s="36"/>
      <c r="B252" s="36" t="s">
        <v>2008</v>
      </c>
      <c r="C252" s="37">
        <v>247</v>
      </c>
    </row>
    <row r="253" spans="1:3" ht="15" thickBot="1" x14ac:dyDescent="0.35">
      <c r="A253" s="36" t="s">
        <v>1759</v>
      </c>
      <c r="B253" s="36" t="s">
        <v>1331</v>
      </c>
      <c r="C253" s="37">
        <v>242</v>
      </c>
    </row>
    <row r="254" spans="1:3" ht="15" thickBot="1" x14ac:dyDescent="0.35">
      <c r="A254" s="36" t="s">
        <v>406</v>
      </c>
      <c r="B254" s="36" t="s">
        <v>2378</v>
      </c>
      <c r="C254" s="37">
        <v>236</v>
      </c>
    </row>
    <row r="255" spans="1:3" ht="15" thickBot="1" x14ac:dyDescent="0.35">
      <c r="A255" s="36" t="s">
        <v>588</v>
      </c>
      <c r="B255" s="36" t="s">
        <v>2054</v>
      </c>
      <c r="C255" s="37">
        <v>228</v>
      </c>
    </row>
    <row r="256" spans="1:3" ht="15" thickBot="1" x14ac:dyDescent="0.35">
      <c r="A256" s="36" t="s">
        <v>496</v>
      </c>
      <c r="B256" s="36" t="s">
        <v>1154</v>
      </c>
      <c r="C256" s="37">
        <v>225</v>
      </c>
    </row>
    <row r="257" spans="1:3" ht="15" thickBot="1" x14ac:dyDescent="0.35">
      <c r="A257" s="36" t="s">
        <v>846</v>
      </c>
      <c r="B257" s="36" t="s">
        <v>1160</v>
      </c>
      <c r="C257" s="37">
        <v>223</v>
      </c>
    </row>
    <row r="258" spans="1:3" ht="15" thickBot="1" x14ac:dyDescent="0.35">
      <c r="A258" s="36" t="s">
        <v>1600</v>
      </c>
      <c r="B258" s="36" t="s">
        <v>1113</v>
      </c>
      <c r="C258" s="37">
        <v>223</v>
      </c>
    </row>
    <row r="259" spans="1:3" ht="15" thickBot="1" x14ac:dyDescent="0.35">
      <c r="A259" s="36" t="s">
        <v>356</v>
      </c>
      <c r="B259" s="36" t="s">
        <v>1137</v>
      </c>
      <c r="C259" s="37">
        <v>215</v>
      </c>
    </row>
    <row r="260" spans="1:3" ht="15" thickBot="1" x14ac:dyDescent="0.35">
      <c r="A260" s="36" t="s">
        <v>474</v>
      </c>
      <c r="B260" s="36" t="s">
        <v>1171</v>
      </c>
      <c r="C260" s="37">
        <v>215</v>
      </c>
    </row>
    <row r="261" spans="1:3" ht="27.6" thickBot="1" x14ac:dyDescent="0.35">
      <c r="A261" s="36" t="s">
        <v>614</v>
      </c>
      <c r="B261" s="36" t="s">
        <v>1047</v>
      </c>
      <c r="C261" s="37">
        <v>214</v>
      </c>
    </row>
    <row r="262" spans="1:3" ht="15" thickBot="1" x14ac:dyDescent="0.35">
      <c r="A262" s="36" t="s">
        <v>506</v>
      </c>
      <c r="B262" s="36" t="s">
        <v>1136</v>
      </c>
      <c r="C262" s="37">
        <v>214</v>
      </c>
    </row>
    <row r="263" spans="1:3" ht="15" thickBot="1" x14ac:dyDescent="0.35">
      <c r="A263" s="36" t="s">
        <v>706</v>
      </c>
      <c r="B263" s="36" t="s">
        <v>1164</v>
      </c>
      <c r="C263" s="37">
        <v>213</v>
      </c>
    </row>
    <row r="264" spans="1:3" ht="15" thickBot="1" x14ac:dyDescent="0.35">
      <c r="A264" s="36" t="s">
        <v>882</v>
      </c>
      <c r="B264" s="36" t="s">
        <v>1099</v>
      </c>
      <c r="C264" s="37">
        <v>212</v>
      </c>
    </row>
    <row r="265" spans="1:3" ht="15" thickBot="1" x14ac:dyDescent="0.35">
      <c r="A265" s="36" t="s">
        <v>720</v>
      </c>
      <c r="B265" s="36" t="s">
        <v>2392</v>
      </c>
      <c r="C265" s="37">
        <v>210</v>
      </c>
    </row>
    <row r="266" spans="1:3" ht="15" thickBot="1" x14ac:dyDescent="0.35">
      <c r="A266" s="36" t="s">
        <v>602</v>
      </c>
      <c r="B266" s="36" t="s">
        <v>2154</v>
      </c>
      <c r="C266" s="37">
        <v>210</v>
      </c>
    </row>
    <row r="267" spans="1:3" ht="15" thickBot="1" x14ac:dyDescent="0.35">
      <c r="A267" s="36" t="s">
        <v>452</v>
      </c>
      <c r="B267" s="36" t="s">
        <v>1068</v>
      </c>
      <c r="C267" s="37">
        <v>208</v>
      </c>
    </row>
    <row r="268" spans="1:3" ht="15" thickBot="1" x14ac:dyDescent="0.35">
      <c r="A268" s="36" t="s">
        <v>428</v>
      </c>
      <c r="B268" s="36" t="s">
        <v>1065</v>
      </c>
      <c r="C268" s="37">
        <v>207</v>
      </c>
    </row>
    <row r="269" spans="1:3" ht="15" thickBot="1" x14ac:dyDescent="0.35">
      <c r="A269" s="36" t="s">
        <v>1611</v>
      </c>
      <c r="B269" s="36" t="s">
        <v>2439</v>
      </c>
      <c r="C269" s="37">
        <v>204</v>
      </c>
    </row>
    <row r="270" spans="1:3" ht="15" thickBot="1" x14ac:dyDescent="0.35">
      <c r="A270" s="36" t="s">
        <v>760</v>
      </c>
      <c r="B270" s="36" t="s">
        <v>2404</v>
      </c>
      <c r="C270" s="37">
        <v>204</v>
      </c>
    </row>
    <row r="271" spans="1:3" ht="15" thickBot="1" x14ac:dyDescent="0.35">
      <c r="A271" s="36" t="s">
        <v>1606</v>
      </c>
      <c r="B271" s="36" t="s">
        <v>1121</v>
      </c>
      <c r="C271" s="37">
        <v>203</v>
      </c>
    </row>
    <row r="272" spans="1:3" ht="15" thickBot="1" x14ac:dyDescent="0.35">
      <c r="A272" s="36" t="s">
        <v>1597</v>
      </c>
      <c r="B272" s="36" t="s">
        <v>1106</v>
      </c>
      <c r="C272" s="37">
        <v>202</v>
      </c>
    </row>
    <row r="273" spans="1:3" ht="15" thickBot="1" x14ac:dyDescent="0.35">
      <c r="A273" s="36" t="s">
        <v>526</v>
      </c>
      <c r="B273" s="36" t="s">
        <v>1369</v>
      </c>
      <c r="C273" s="37">
        <v>199</v>
      </c>
    </row>
    <row r="274" spans="1:3" ht="15" thickBot="1" x14ac:dyDescent="0.35">
      <c r="A274" s="36" t="s">
        <v>1601</v>
      </c>
      <c r="B274" s="36" t="s">
        <v>1114</v>
      </c>
      <c r="C274" s="37">
        <v>194</v>
      </c>
    </row>
    <row r="275" spans="1:3" ht="15" thickBot="1" x14ac:dyDescent="0.35">
      <c r="A275" s="36"/>
      <c r="B275" s="36" t="s">
        <v>2499</v>
      </c>
      <c r="C275" s="37">
        <v>193</v>
      </c>
    </row>
    <row r="276" spans="1:3" ht="15" thickBot="1" x14ac:dyDescent="0.35">
      <c r="A276" s="36" t="s">
        <v>2500</v>
      </c>
      <c r="B276" s="36" t="s">
        <v>2501</v>
      </c>
      <c r="C276" s="37">
        <v>189</v>
      </c>
    </row>
    <row r="277" spans="1:3" ht="15" thickBot="1" x14ac:dyDescent="0.35">
      <c r="A277" s="36" t="s">
        <v>1624</v>
      </c>
      <c r="B277" s="36" t="s">
        <v>1169</v>
      </c>
      <c r="C277" s="37">
        <v>185</v>
      </c>
    </row>
    <row r="278" spans="1:3" ht="15" thickBot="1" x14ac:dyDescent="0.35">
      <c r="A278" s="36"/>
      <c r="B278" s="36" t="s">
        <v>2502</v>
      </c>
      <c r="C278" s="37">
        <v>185</v>
      </c>
    </row>
    <row r="279" spans="1:3" ht="15" thickBot="1" x14ac:dyDescent="0.35">
      <c r="A279" s="36" t="s">
        <v>2503</v>
      </c>
      <c r="B279" s="36" t="s">
        <v>2504</v>
      </c>
      <c r="C279" s="37">
        <v>179</v>
      </c>
    </row>
    <row r="280" spans="1:3" ht="15" thickBot="1" x14ac:dyDescent="0.35">
      <c r="A280" s="36" t="s">
        <v>594</v>
      </c>
      <c r="B280" s="36" t="s">
        <v>1139</v>
      </c>
      <c r="C280" s="37">
        <v>179</v>
      </c>
    </row>
    <row r="281" spans="1:3" ht="15" thickBot="1" x14ac:dyDescent="0.35">
      <c r="A281" s="36" t="s">
        <v>1634</v>
      </c>
      <c r="B281" s="36" t="s">
        <v>1184</v>
      </c>
      <c r="C281" s="37">
        <v>177</v>
      </c>
    </row>
    <row r="282" spans="1:3" ht="15" thickBot="1" x14ac:dyDescent="0.35">
      <c r="A282" s="36"/>
      <c r="B282" s="36" t="s">
        <v>2015</v>
      </c>
      <c r="C282" s="37">
        <v>177</v>
      </c>
    </row>
    <row r="283" spans="1:3" ht="15" thickBot="1" x14ac:dyDescent="0.35">
      <c r="A283" s="36" t="s">
        <v>2152</v>
      </c>
      <c r="B283" s="36" t="s">
        <v>2153</v>
      </c>
      <c r="C283" s="37">
        <v>177</v>
      </c>
    </row>
    <row r="284" spans="1:3" ht="15" thickBot="1" x14ac:dyDescent="0.35">
      <c r="A284" s="36" t="s">
        <v>466</v>
      </c>
      <c r="B284" s="36" t="s">
        <v>1040</v>
      </c>
      <c r="C284" s="37">
        <v>177</v>
      </c>
    </row>
    <row r="285" spans="1:3" ht="15" thickBot="1" x14ac:dyDescent="0.35">
      <c r="A285" s="36" t="s">
        <v>1610</v>
      </c>
      <c r="B285" s="36" t="s">
        <v>1128</v>
      </c>
      <c r="C285" s="37">
        <v>174</v>
      </c>
    </row>
    <row r="286" spans="1:3" ht="15" thickBot="1" x14ac:dyDescent="0.35">
      <c r="A286" s="36"/>
      <c r="B286" s="36" t="s">
        <v>1945</v>
      </c>
      <c r="C286" s="37">
        <v>173</v>
      </c>
    </row>
    <row r="287" spans="1:3" ht="15" thickBot="1" x14ac:dyDescent="0.35">
      <c r="A287" s="36" t="s">
        <v>666</v>
      </c>
      <c r="B287" s="36" t="s">
        <v>1087</v>
      </c>
      <c r="C287" s="37">
        <v>170</v>
      </c>
    </row>
    <row r="288" spans="1:3" ht="15" thickBot="1" x14ac:dyDescent="0.35">
      <c r="A288" s="36" t="s">
        <v>800</v>
      </c>
      <c r="B288" s="36" t="s">
        <v>1117</v>
      </c>
      <c r="C288" s="37">
        <v>169</v>
      </c>
    </row>
    <row r="289" spans="1:3" ht="15" thickBot="1" x14ac:dyDescent="0.35">
      <c r="A289" s="36" t="s">
        <v>1602</v>
      </c>
      <c r="B289" s="36" t="s">
        <v>1115</v>
      </c>
      <c r="C289" s="37">
        <v>166</v>
      </c>
    </row>
    <row r="290" spans="1:3" ht="15" thickBot="1" x14ac:dyDescent="0.35">
      <c r="A290" s="36" t="s">
        <v>370</v>
      </c>
      <c r="B290" s="36" t="s">
        <v>1302</v>
      </c>
      <c r="C290" s="37">
        <v>165</v>
      </c>
    </row>
    <row r="291" spans="1:3" ht="15" thickBot="1" x14ac:dyDescent="0.35">
      <c r="A291" s="36" t="s">
        <v>520</v>
      </c>
      <c r="B291" s="36" t="s">
        <v>2391</v>
      </c>
      <c r="C291" s="37">
        <v>163</v>
      </c>
    </row>
    <row r="292" spans="1:3" ht="27.6" thickBot="1" x14ac:dyDescent="0.35">
      <c r="A292" s="36" t="s">
        <v>2133</v>
      </c>
      <c r="B292" s="36" t="s">
        <v>2134</v>
      </c>
      <c r="C292" s="37">
        <v>162</v>
      </c>
    </row>
    <row r="293" spans="1:3" ht="15" thickBot="1" x14ac:dyDescent="0.35">
      <c r="A293" s="36" t="s">
        <v>1586</v>
      </c>
      <c r="B293" s="36" t="s">
        <v>1071</v>
      </c>
      <c r="C293" s="37">
        <v>156</v>
      </c>
    </row>
    <row r="294" spans="1:3" ht="15" thickBot="1" x14ac:dyDescent="0.35">
      <c r="A294" s="36"/>
      <c r="B294" s="36" t="s">
        <v>2016</v>
      </c>
      <c r="C294" s="37">
        <v>153</v>
      </c>
    </row>
    <row r="295" spans="1:3" ht="15" thickBot="1" x14ac:dyDescent="0.35">
      <c r="A295" s="36"/>
      <c r="B295" s="36" t="s">
        <v>1129</v>
      </c>
      <c r="C295" s="37">
        <v>153</v>
      </c>
    </row>
    <row r="296" spans="1:3" ht="15" thickBot="1" x14ac:dyDescent="0.35">
      <c r="A296" s="36"/>
      <c r="B296" s="36" t="s">
        <v>1946</v>
      </c>
      <c r="C296" s="37">
        <v>151</v>
      </c>
    </row>
    <row r="297" spans="1:3" ht="27.6" thickBot="1" x14ac:dyDescent="0.35">
      <c r="A297" s="36" t="s">
        <v>1614</v>
      </c>
      <c r="B297" s="36" t="s">
        <v>1147</v>
      </c>
      <c r="C297" s="37">
        <v>149</v>
      </c>
    </row>
    <row r="298" spans="1:3" ht="15" thickBot="1" x14ac:dyDescent="0.35">
      <c r="A298" s="36"/>
      <c r="B298" s="36" t="s">
        <v>2019</v>
      </c>
      <c r="C298" s="37">
        <v>146</v>
      </c>
    </row>
    <row r="299" spans="1:3" ht="15" thickBot="1" x14ac:dyDescent="0.35">
      <c r="A299" s="36" t="s">
        <v>1594</v>
      </c>
      <c r="B299" s="36" t="s">
        <v>1103</v>
      </c>
      <c r="C299" s="37">
        <v>145</v>
      </c>
    </row>
    <row r="300" spans="1:3" ht="15" thickBot="1" x14ac:dyDescent="0.35">
      <c r="A300" s="36"/>
      <c r="B300" s="36" t="s">
        <v>2013</v>
      </c>
      <c r="C300" s="37">
        <v>144</v>
      </c>
    </row>
    <row r="301" spans="1:3" ht="15" thickBot="1" x14ac:dyDescent="0.35">
      <c r="A301" s="36" t="s">
        <v>486</v>
      </c>
      <c r="B301" s="36" t="s">
        <v>2379</v>
      </c>
      <c r="C301" s="37">
        <v>143</v>
      </c>
    </row>
    <row r="302" spans="1:3" ht="15" thickBot="1" x14ac:dyDescent="0.35">
      <c r="A302" s="36" t="s">
        <v>2505</v>
      </c>
      <c r="B302" s="36" t="s">
        <v>2506</v>
      </c>
      <c r="C302" s="37">
        <v>142</v>
      </c>
    </row>
    <row r="303" spans="1:3" ht="15" thickBot="1" x14ac:dyDescent="0.35">
      <c r="A303" s="36" t="s">
        <v>476</v>
      </c>
      <c r="B303" s="36" t="s">
        <v>1130</v>
      </c>
      <c r="C303" s="37">
        <v>140</v>
      </c>
    </row>
    <row r="304" spans="1:3" ht="15" thickBot="1" x14ac:dyDescent="0.35">
      <c r="A304" s="36" t="s">
        <v>1579</v>
      </c>
      <c r="B304" s="36" t="s">
        <v>1055</v>
      </c>
      <c r="C304" s="37">
        <v>139</v>
      </c>
    </row>
    <row r="305" spans="1:3" ht="15" thickBot="1" x14ac:dyDescent="0.35">
      <c r="A305" s="36" t="s">
        <v>1605</v>
      </c>
      <c r="B305" s="36" t="s">
        <v>1120</v>
      </c>
      <c r="C305" s="37">
        <v>129</v>
      </c>
    </row>
    <row r="306" spans="1:3" ht="15" thickBot="1" x14ac:dyDescent="0.35">
      <c r="A306" s="36" t="s">
        <v>2064</v>
      </c>
      <c r="B306" s="36" t="s">
        <v>2065</v>
      </c>
      <c r="C306" s="37">
        <v>129</v>
      </c>
    </row>
    <row r="307" spans="1:3" ht="15" thickBot="1" x14ac:dyDescent="0.35">
      <c r="A307" s="36" t="s">
        <v>1630</v>
      </c>
      <c r="B307" s="36" t="s">
        <v>1179</v>
      </c>
      <c r="C307" s="37">
        <v>127</v>
      </c>
    </row>
    <row r="308" spans="1:3" ht="15" thickBot="1" x14ac:dyDescent="0.35">
      <c r="A308" s="36"/>
      <c r="B308" s="36" t="s">
        <v>2507</v>
      </c>
      <c r="C308" s="37">
        <v>124</v>
      </c>
    </row>
    <row r="309" spans="1:3" ht="15" thickBot="1" x14ac:dyDescent="0.35">
      <c r="A309" s="36" t="s">
        <v>616</v>
      </c>
      <c r="B309" s="36" t="s">
        <v>1326</v>
      </c>
      <c r="C309" s="37">
        <v>123</v>
      </c>
    </row>
    <row r="310" spans="1:3" ht="15" thickBot="1" x14ac:dyDescent="0.35">
      <c r="A310" s="36" t="s">
        <v>1873</v>
      </c>
      <c r="B310" s="36" t="s">
        <v>1453</v>
      </c>
      <c r="C310" s="37">
        <v>121</v>
      </c>
    </row>
    <row r="311" spans="1:3" ht="15" thickBot="1" x14ac:dyDescent="0.35">
      <c r="A311" s="36" t="s">
        <v>1619</v>
      </c>
      <c r="B311" s="36" t="s">
        <v>1158</v>
      </c>
      <c r="C311" s="37">
        <v>121</v>
      </c>
    </row>
    <row r="312" spans="1:3" ht="15" thickBot="1" x14ac:dyDescent="0.35">
      <c r="A312" s="36"/>
      <c r="B312" s="36" t="s">
        <v>2508</v>
      </c>
      <c r="C312" s="37">
        <v>120</v>
      </c>
    </row>
    <row r="313" spans="1:3" ht="15" thickBot="1" x14ac:dyDescent="0.35">
      <c r="A313" s="36" t="s">
        <v>2289</v>
      </c>
      <c r="B313" s="36" t="s">
        <v>2509</v>
      </c>
      <c r="C313" s="37">
        <v>120</v>
      </c>
    </row>
    <row r="314" spans="1:3" ht="15" thickBot="1" x14ac:dyDescent="0.35">
      <c r="A314" s="36" t="s">
        <v>676</v>
      </c>
      <c r="B314" s="36" t="s">
        <v>2510</v>
      </c>
      <c r="C314" s="37">
        <v>118</v>
      </c>
    </row>
    <row r="315" spans="1:3" ht="15" thickBot="1" x14ac:dyDescent="0.35">
      <c r="A315" s="36" t="s">
        <v>790</v>
      </c>
      <c r="B315" s="36" t="s">
        <v>2424</v>
      </c>
      <c r="C315" s="37">
        <v>116</v>
      </c>
    </row>
    <row r="316" spans="1:3" ht="15" thickBot="1" x14ac:dyDescent="0.35">
      <c r="A316" s="36" t="s">
        <v>792</v>
      </c>
      <c r="B316" s="36" t="s">
        <v>2511</v>
      </c>
      <c r="C316" s="37">
        <v>116</v>
      </c>
    </row>
    <row r="317" spans="1:3" ht="15" thickBot="1" x14ac:dyDescent="0.35">
      <c r="A317" s="36" t="s">
        <v>2512</v>
      </c>
      <c r="B317" s="36" t="s">
        <v>2513</v>
      </c>
      <c r="C317" s="37">
        <v>113</v>
      </c>
    </row>
    <row r="318" spans="1:3" ht="15" thickBot="1" x14ac:dyDescent="0.35">
      <c r="A318" s="36"/>
      <c r="B318" s="36" t="s">
        <v>2018</v>
      </c>
      <c r="C318" s="37">
        <v>112</v>
      </c>
    </row>
    <row r="319" spans="1:3" ht="15" thickBot="1" x14ac:dyDescent="0.35">
      <c r="A319" s="36" t="s">
        <v>1615</v>
      </c>
      <c r="B319" s="36" t="s">
        <v>1148</v>
      </c>
      <c r="C319" s="37">
        <v>112</v>
      </c>
    </row>
    <row r="320" spans="1:3" ht="15" thickBot="1" x14ac:dyDescent="0.35">
      <c r="A320" s="36" t="s">
        <v>1625</v>
      </c>
      <c r="B320" s="36" t="s">
        <v>1170</v>
      </c>
      <c r="C320" s="37">
        <v>112</v>
      </c>
    </row>
    <row r="321" spans="1:3" ht="15" thickBot="1" x14ac:dyDescent="0.35">
      <c r="A321" s="36" t="s">
        <v>722</v>
      </c>
      <c r="B321" s="36" t="s">
        <v>1178</v>
      </c>
      <c r="C321" s="37">
        <v>112</v>
      </c>
    </row>
    <row r="322" spans="1:3" ht="15" thickBot="1" x14ac:dyDescent="0.35">
      <c r="A322" s="36" t="s">
        <v>1566</v>
      </c>
      <c r="B322" s="36" t="s">
        <v>1020</v>
      </c>
      <c r="C322" s="37">
        <v>111</v>
      </c>
    </row>
    <row r="323" spans="1:3" ht="15" thickBot="1" x14ac:dyDescent="0.35">
      <c r="A323" s="36" t="s">
        <v>386</v>
      </c>
      <c r="B323" s="36" t="s">
        <v>1135</v>
      </c>
      <c r="C323" s="37">
        <v>111</v>
      </c>
    </row>
    <row r="324" spans="1:3" ht="15" thickBot="1" x14ac:dyDescent="0.35">
      <c r="A324" s="36" t="s">
        <v>488</v>
      </c>
      <c r="B324" s="36" t="s">
        <v>2147</v>
      </c>
      <c r="C324" s="37">
        <v>111</v>
      </c>
    </row>
    <row r="325" spans="1:3" ht="27.6" thickBot="1" x14ac:dyDescent="0.35">
      <c r="A325" s="36" t="s">
        <v>2317</v>
      </c>
      <c r="B325" s="36" t="s">
        <v>2382</v>
      </c>
      <c r="C325" s="37">
        <v>111</v>
      </c>
    </row>
    <row r="326" spans="1:3" ht="15" thickBot="1" x14ac:dyDescent="0.35">
      <c r="A326" s="36" t="s">
        <v>510</v>
      </c>
      <c r="B326" s="36" t="s">
        <v>1389</v>
      </c>
      <c r="C326" s="37">
        <v>109</v>
      </c>
    </row>
    <row r="327" spans="1:3" ht="15" thickBot="1" x14ac:dyDescent="0.35">
      <c r="A327" s="36" t="s">
        <v>2020</v>
      </c>
      <c r="B327" s="36" t="s">
        <v>2021</v>
      </c>
      <c r="C327" s="37">
        <v>109</v>
      </c>
    </row>
    <row r="328" spans="1:3" ht="15" thickBot="1" x14ac:dyDescent="0.35">
      <c r="A328" s="36" t="s">
        <v>762</v>
      </c>
      <c r="B328" s="36" t="s">
        <v>2071</v>
      </c>
      <c r="C328" s="37">
        <v>109</v>
      </c>
    </row>
    <row r="329" spans="1:3" ht="15" thickBot="1" x14ac:dyDescent="0.35">
      <c r="A329" s="36" t="s">
        <v>1622</v>
      </c>
      <c r="B329" s="36" t="s">
        <v>1163</v>
      </c>
      <c r="C329" s="37">
        <v>108</v>
      </c>
    </row>
    <row r="330" spans="1:3" ht="15" thickBot="1" x14ac:dyDescent="0.35">
      <c r="A330" s="36" t="s">
        <v>1648</v>
      </c>
      <c r="B330" s="36" t="s">
        <v>1202</v>
      </c>
      <c r="C330" s="37">
        <v>107</v>
      </c>
    </row>
    <row r="331" spans="1:3" ht="15" thickBot="1" x14ac:dyDescent="0.35">
      <c r="A331" s="36" t="s">
        <v>838</v>
      </c>
      <c r="B331" s="36" t="s">
        <v>1168</v>
      </c>
      <c r="C331" s="37">
        <v>106</v>
      </c>
    </row>
    <row r="332" spans="1:3" ht="15" thickBot="1" x14ac:dyDescent="0.35">
      <c r="A332" s="36" t="s">
        <v>424</v>
      </c>
      <c r="B332" s="36" t="s">
        <v>1330</v>
      </c>
      <c r="C332" s="37">
        <v>106</v>
      </c>
    </row>
    <row r="333" spans="1:3" ht="15" thickBot="1" x14ac:dyDescent="0.35">
      <c r="A333" s="36" t="s">
        <v>736</v>
      </c>
      <c r="B333" s="36" t="s">
        <v>2514</v>
      </c>
      <c r="C333" s="37">
        <v>105</v>
      </c>
    </row>
    <row r="334" spans="1:3" ht="15" thickBot="1" x14ac:dyDescent="0.35">
      <c r="A334" s="36" t="s">
        <v>610</v>
      </c>
      <c r="B334" s="36" t="s">
        <v>2426</v>
      </c>
      <c r="C334" s="37">
        <v>105</v>
      </c>
    </row>
    <row r="335" spans="1:3" ht="15" thickBot="1" x14ac:dyDescent="0.35">
      <c r="A335" s="36" t="s">
        <v>1620</v>
      </c>
      <c r="B335" s="36" t="s">
        <v>1159</v>
      </c>
      <c r="C335" s="37">
        <v>103</v>
      </c>
    </row>
    <row r="336" spans="1:3" ht="15" thickBot="1" x14ac:dyDescent="0.35">
      <c r="A336" s="36" t="s">
        <v>1623</v>
      </c>
      <c r="B336" s="36" t="s">
        <v>1167</v>
      </c>
      <c r="C336" s="37">
        <v>102</v>
      </c>
    </row>
    <row r="337" spans="1:3" ht="15" thickBot="1" x14ac:dyDescent="0.35">
      <c r="A337" s="36" t="s">
        <v>806</v>
      </c>
      <c r="B337" s="36" t="s">
        <v>2142</v>
      </c>
      <c r="C337" s="37">
        <v>102</v>
      </c>
    </row>
    <row r="338" spans="1:3" ht="15" thickBot="1" x14ac:dyDescent="0.35">
      <c r="A338" s="36" t="s">
        <v>710</v>
      </c>
      <c r="B338" s="36" t="s">
        <v>2394</v>
      </c>
      <c r="C338" s="37">
        <v>101</v>
      </c>
    </row>
    <row r="339" spans="1:3" ht="15" thickBot="1" x14ac:dyDescent="0.35">
      <c r="A339" s="36" t="s">
        <v>742</v>
      </c>
      <c r="B339" s="36" t="s">
        <v>1185</v>
      </c>
      <c r="C339" s="37">
        <v>100</v>
      </c>
    </row>
    <row r="340" spans="1:3" ht="15" thickBot="1" x14ac:dyDescent="0.35">
      <c r="A340" s="36" t="s">
        <v>2214</v>
      </c>
      <c r="B340" s="36" t="s">
        <v>2431</v>
      </c>
      <c r="C340" s="37">
        <v>99</v>
      </c>
    </row>
    <row r="341" spans="1:3" ht="15" thickBot="1" x14ac:dyDescent="0.35">
      <c r="A341" s="36" t="s">
        <v>576</v>
      </c>
      <c r="B341" s="36" t="s">
        <v>2132</v>
      </c>
      <c r="C341" s="37">
        <v>96</v>
      </c>
    </row>
    <row r="342" spans="1:3" ht="15" thickBot="1" x14ac:dyDescent="0.35">
      <c r="A342" s="36" t="s">
        <v>728</v>
      </c>
      <c r="B342" s="36" t="s">
        <v>2425</v>
      </c>
      <c r="C342" s="37">
        <v>96</v>
      </c>
    </row>
    <row r="343" spans="1:3" ht="15" thickBot="1" x14ac:dyDescent="0.35">
      <c r="A343" s="36" t="s">
        <v>418</v>
      </c>
      <c r="B343" s="36" t="s">
        <v>1250</v>
      </c>
      <c r="C343" s="37">
        <v>94</v>
      </c>
    </row>
    <row r="344" spans="1:3" ht="15" thickBot="1" x14ac:dyDescent="0.35">
      <c r="A344" s="36" t="s">
        <v>700</v>
      </c>
      <c r="B344" s="36" t="s">
        <v>1186</v>
      </c>
      <c r="C344" s="37">
        <v>94</v>
      </c>
    </row>
    <row r="345" spans="1:3" ht="15" thickBot="1" x14ac:dyDescent="0.35">
      <c r="A345" s="36" t="s">
        <v>1684</v>
      </c>
      <c r="B345" s="36" t="s">
        <v>1246</v>
      </c>
      <c r="C345" s="37">
        <v>93</v>
      </c>
    </row>
    <row r="346" spans="1:3" ht="15" thickBot="1" x14ac:dyDescent="0.35">
      <c r="A346" s="36" t="s">
        <v>2515</v>
      </c>
      <c r="B346" s="36" t="s">
        <v>2516</v>
      </c>
      <c r="C346" s="37">
        <v>92</v>
      </c>
    </row>
    <row r="347" spans="1:3" ht="15" thickBot="1" x14ac:dyDescent="0.35">
      <c r="A347" s="36" t="s">
        <v>2303</v>
      </c>
      <c r="B347" s="36" t="s">
        <v>2517</v>
      </c>
      <c r="C347" s="37">
        <v>92</v>
      </c>
    </row>
    <row r="348" spans="1:3" ht="15" thickBot="1" x14ac:dyDescent="0.35">
      <c r="A348" s="36" t="s">
        <v>1690</v>
      </c>
      <c r="B348" s="36" t="s">
        <v>1254</v>
      </c>
      <c r="C348" s="37">
        <v>92</v>
      </c>
    </row>
    <row r="349" spans="1:3" ht="15" thickBot="1" x14ac:dyDescent="0.35">
      <c r="A349" s="36"/>
      <c r="B349" s="36" t="s">
        <v>1984</v>
      </c>
      <c r="C349" s="37">
        <v>92</v>
      </c>
    </row>
    <row r="350" spans="1:3" ht="15" thickBot="1" x14ac:dyDescent="0.35">
      <c r="A350" s="36"/>
      <c r="B350" s="36" t="s">
        <v>1949</v>
      </c>
      <c r="C350" s="37">
        <v>92</v>
      </c>
    </row>
    <row r="351" spans="1:3" ht="15" thickBot="1" x14ac:dyDescent="0.35">
      <c r="A351" s="36" t="s">
        <v>1943</v>
      </c>
      <c r="B351" s="36" t="s">
        <v>1559</v>
      </c>
      <c r="C351" s="37">
        <v>91</v>
      </c>
    </row>
    <row r="352" spans="1:3" ht="15" thickBot="1" x14ac:dyDescent="0.35">
      <c r="A352" s="36" t="s">
        <v>2344</v>
      </c>
      <c r="B352" s="36" t="s">
        <v>2518</v>
      </c>
      <c r="C352" s="37">
        <v>91</v>
      </c>
    </row>
    <row r="353" spans="1:3" ht="15" thickBot="1" x14ac:dyDescent="0.35">
      <c r="A353" s="36" t="s">
        <v>2519</v>
      </c>
      <c r="B353" s="36" t="s">
        <v>2520</v>
      </c>
      <c r="C353" s="37">
        <v>91</v>
      </c>
    </row>
    <row r="354" spans="1:3" ht="15" thickBot="1" x14ac:dyDescent="0.35">
      <c r="A354" s="36" t="s">
        <v>1632</v>
      </c>
      <c r="B354" s="36" t="s">
        <v>1182</v>
      </c>
      <c r="C354" s="37">
        <v>89</v>
      </c>
    </row>
    <row r="355" spans="1:3" ht="15" thickBot="1" x14ac:dyDescent="0.35">
      <c r="A355" s="36" t="s">
        <v>740</v>
      </c>
      <c r="B355" s="36" t="s">
        <v>2104</v>
      </c>
      <c r="C355" s="37">
        <v>89</v>
      </c>
    </row>
    <row r="356" spans="1:3" ht="15" thickBot="1" x14ac:dyDescent="0.35">
      <c r="A356" s="36" t="s">
        <v>2521</v>
      </c>
      <c r="B356" s="36" t="s">
        <v>2522</v>
      </c>
      <c r="C356" s="37">
        <v>89</v>
      </c>
    </row>
    <row r="357" spans="1:3" ht="15" thickBot="1" x14ac:dyDescent="0.35">
      <c r="A357" s="36" t="s">
        <v>2523</v>
      </c>
      <c r="B357" s="36" t="s">
        <v>2524</v>
      </c>
      <c r="C357" s="37">
        <v>89</v>
      </c>
    </row>
    <row r="358" spans="1:3" ht="15" thickBot="1" x14ac:dyDescent="0.35">
      <c r="A358" s="36" t="s">
        <v>690</v>
      </c>
      <c r="B358" s="36" t="s">
        <v>1950</v>
      </c>
      <c r="C358" s="37">
        <v>88</v>
      </c>
    </row>
    <row r="359" spans="1:3" ht="15" thickBot="1" x14ac:dyDescent="0.35">
      <c r="A359" s="36" t="s">
        <v>328</v>
      </c>
      <c r="B359" s="36" t="s">
        <v>2381</v>
      </c>
      <c r="C359" s="37">
        <v>86</v>
      </c>
    </row>
    <row r="360" spans="1:3" ht="15" thickBot="1" x14ac:dyDescent="0.35">
      <c r="A360" s="36" t="s">
        <v>1639</v>
      </c>
      <c r="B360" s="36" t="s">
        <v>1191</v>
      </c>
      <c r="C360" s="37">
        <v>84</v>
      </c>
    </row>
    <row r="361" spans="1:3" ht="15" thickBot="1" x14ac:dyDescent="0.35">
      <c r="A361" s="36"/>
      <c r="B361" s="36" t="s">
        <v>2525</v>
      </c>
      <c r="C361" s="37">
        <v>84</v>
      </c>
    </row>
    <row r="362" spans="1:3" ht="15" thickBot="1" x14ac:dyDescent="0.35">
      <c r="A362" s="36" t="s">
        <v>1621</v>
      </c>
      <c r="B362" s="36" t="s">
        <v>1161</v>
      </c>
      <c r="C362" s="37">
        <v>84</v>
      </c>
    </row>
    <row r="363" spans="1:3" ht="15" thickBot="1" x14ac:dyDescent="0.35">
      <c r="A363" s="36" t="s">
        <v>562</v>
      </c>
      <c r="B363" s="36" t="s">
        <v>1138</v>
      </c>
      <c r="C363" s="37">
        <v>84</v>
      </c>
    </row>
    <row r="364" spans="1:3" ht="15" thickBot="1" x14ac:dyDescent="0.35">
      <c r="A364" s="36" t="s">
        <v>772</v>
      </c>
      <c r="B364" s="36" t="s">
        <v>1291</v>
      </c>
      <c r="C364" s="37">
        <v>83</v>
      </c>
    </row>
    <row r="365" spans="1:3" ht="15" thickBot="1" x14ac:dyDescent="0.35">
      <c r="A365" s="36" t="s">
        <v>404</v>
      </c>
      <c r="B365" s="36" t="s">
        <v>2526</v>
      </c>
      <c r="C365" s="37">
        <v>83</v>
      </c>
    </row>
    <row r="366" spans="1:3" ht="15" thickBot="1" x14ac:dyDescent="0.35">
      <c r="A366" s="36" t="s">
        <v>1638</v>
      </c>
      <c r="B366" s="36" t="s">
        <v>1190</v>
      </c>
      <c r="C366" s="37">
        <v>83</v>
      </c>
    </row>
    <row r="367" spans="1:3" ht="15" thickBot="1" x14ac:dyDescent="0.35">
      <c r="A367" s="36"/>
      <c r="B367" s="36" t="s">
        <v>1947</v>
      </c>
      <c r="C367" s="37">
        <v>83</v>
      </c>
    </row>
    <row r="368" spans="1:3" ht="15" thickBot="1" x14ac:dyDescent="0.35">
      <c r="A368" s="36" t="s">
        <v>1626</v>
      </c>
      <c r="B368" s="36" t="s">
        <v>1172</v>
      </c>
      <c r="C368" s="37">
        <v>83</v>
      </c>
    </row>
    <row r="369" spans="1:3" ht="15" thickBot="1" x14ac:dyDescent="0.35">
      <c r="A369" s="36" t="s">
        <v>2527</v>
      </c>
      <c r="B369" s="36" t="s">
        <v>2528</v>
      </c>
      <c r="C369" s="37">
        <v>82</v>
      </c>
    </row>
    <row r="370" spans="1:3" ht="15" thickBot="1" x14ac:dyDescent="0.35">
      <c r="A370" s="36" t="s">
        <v>2053</v>
      </c>
      <c r="B370" s="36" t="s">
        <v>2529</v>
      </c>
      <c r="C370" s="37">
        <v>80</v>
      </c>
    </row>
    <row r="371" spans="1:3" ht="15" thickBot="1" x14ac:dyDescent="0.35">
      <c r="A371" s="36" t="s">
        <v>702</v>
      </c>
      <c r="B371" s="36" t="s">
        <v>2055</v>
      </c>
      <c r="C371" s="37">
        <v>80</v>
      </c>
    </row>
    <row r="372" spans="1:3" ht="15" thickBot="1" x14ac:dyDescent="0.35">
      <c r="A372" s="36" t="s">
        <v>1633</v>
      </c>
      <c r="B372" s="36" t="s">
        <v>2530</v>
      </c>
      <c r="C372" s="37">
        <v>80</v>
      </c>
    </row>
    <row r="373" spans="1:3" ht="15" thickBot="1" x14ac:dyDescent="0.35">
      <c r="A373" s="36"/>
      <c r="B373" s="36" t="s">
        <v>2014</v>
      </c>
      <c r="C373" s="37">
        <v>79</v>
      </c>
    </row>
    <row r="374" spans="1:3" ht="15" thickBot="1" x14ac:dyDescent="0.35">
      <c r="A374" s="36"/>
      <c r="B374" s="36" t="s">
        <v>1958</v>
      </c>
      <c r="C374" s="37">
        <v>79</v>
      </c>
    </row>
    <row r="375" spans="1:3" ht="15" thickBot="1" x14ac:dyDescent="0.35">
      <c r="A375" s="36" t="s">
        <v>634</v>
      </c>
      <c r="B375" s="36" t="s">
        <v>2047</v>
      </c>
      <c r="C375" s="37">
        <v>79</v>
      </c>
    </row>
    <row r="376" spans="1:3" ht="15" thickBot="1" x14ac:dyDescent="0.35">
      <c r="A376" s="36" t="s">
        <v>544</v>
      </c>
      <c r="B376" s="36" t="s">
        <v>1220</v>
      </c>
      <c r="C376" s="37">
        <v>78</v>
      </c>
    </row>
    <row r="377" spans="1:3" ht="15" thickBot="1" x14ac:dyDescent="0.35">
      <c r="A377" s="36" t="s">
        <v>714</v>
      </c>
      <c r="B377" s="36" t="s">
        <v>1276</v>
      </c>
      <c r="C377" s="37">
        <v>78</v>
      </c>
    </row>
    <row r="378" spans="1:3" ht="15" thickBot="1" x14ac:dyDescent="0.35">
      <c r="A378" s="36" t="s">
        <v>442</v>
      </c>
      <c r="B378" s="36" t="s">
        <v>2056</v>
      </c>
      <c r="C378" s="37">
        <v>78</v>
      </c>
    </row>
    <row r="379" spans="1:3" ht="15" thickBot="1" x14ac:dyDescent="0.35">
      <c r="A379" s="36" t="s">
        <v>712</v>
      </c>
      <c r="B379" s="36" t="s">
        <v>1221</v>
      </c>
      <c r="C379" s="37">
        <v>78</v>
      </c>
    </row>
    <row r="380" spans="1:3" ht="15" thickBot="1" x14ac:dyDescent="0.35">
      <c r="A380" s="36" t="s">
        <v>414</v>
      </c>
      <c r="B380" s="36" t="s">
        <v>2531</v>
      </c>
      <c r="C380" s="37">
        <v>78</v>
      </c>
    </row>
    <row r="381" spans="1:3" ht="15" thickBot="1" x14ac:dyDescent="0.35">
      <c r="A381" s="36" t="s">
        <v>1643</v>
      </c>
      <c r="B381" s="36" t="s">
        <v>2532</v>
      </c>
      <c r="C381" s="37">
        <v>78</v>
      </c>
    </row>
    <row r="382" spans="1:3" ht="15" thickBot="1" x14ac:dyDescent="0.35">
      <c r="A382" s="36" t="s">
        <v>2022</v>
      </c>
      <c r="B382" s="36" t="s">
        <v>2023</v>
      </c>
      <c r="C382" s="37">
        <v>78</v>
      </c>
    </row>
    <row r="383" spans="1:3" ht="15" thickBot="1" x14ac:dyDescent="0.35">
      <c r="A383" s="36" t="s">
        <v>1942</v>
      </c>
      <c r="B383" s="36" t="s">
        <v>1540</v>
      </c>
      <c r="C383" s="37">
        <v>77</v>
      </c>
    </row>
    <row r="384" spans="1:3" ht="15" thickBot="1" x14ac:dyDescent="0.35">
      <c r="A384" s="36" t="s">
        <v>1658</v>
      </c>
      <c r="B384" s="36" t="s">
        <v>1211</v>
      </c>
      <c r="C384" s="37">
        <v>77</v>
      </c>
    </row>
    <row r="385" spans="1:3" ht="15" thickBot="1" x14ac:dyDescent="0.35">
      <c r="A385" s="36" t="s">
        <v>2533</v>
      </c>
      <c r="B385" s="36" t="s">
        <v>2534</v>
      </c>
      <c r="C385" s="37">
        <v>77</v>
      </c>
    </row>
    <row r="386" spans="1:3" ht="15" thickBot="1" x14ac:dyDescent="0.35">
      <c r="A386" s="36" t="s">
        <v>2029</v>
      </c>
      <c r="B386" s="36" t="s">
        <v>2030</v>
      </c>
      <c r="C386" s="37">
        <v>77</v>
      </c>
    </row>
    <row r="387" spans="1:3" ht="15" thickBot="1" x14ac:dyDescent="0.35">
      <c r="A387" s="36" t="s">
        <v>658</v>
      </c>
      <c r="B387" s="36" t="s">
        <v>2155</v>
      </c>
      <c r="C387" s="37">
        <v>76</v>
      </c>
    </row>
    <row r="388" spans="1:3" ht="15" thickBot="1" x14ac:dyDescent="0.35">
      <c r="A388" s="36" t="s">
        <v>2107</v>
      </c>
      <c r="B388" s="36" t="s">
        <v>2108</v>
      </c>
      <c r="C388" s="37">
        <v>75</v>
      </c>
    </row>
    <row r="389" spans="1:3" ht="27.6" thickBot="1" x14ac:dyDescent="0.35">
      <c r="A389" s="36" t="s">
        <v>1604</v>
      </c>
      <c r="B389" s="36" t="s">
        <v>1119</v>
      </c>
      <c r="C389" s="37">
        <v>75</v>
      </c>
    </row>
    <row r="390" spans="1:3" ht="15" thickBot="1" x14ac:dyDescent="0.35">
      <c r="A390" s="36" t="s">
        <v>372</v>
      </c>
      <c r="B390" s="36" t="s">
        <v>1196</v>
      </c>
      <c r="C390" s="37">
        <v>74</v>
      </c>
    </row>
    <row r="391" spans="1:3" ht="15" thickBot="1" x14ac:dyDescent="0.35">
      <c r="A391" s="36" t="s">
        <v>856</v>
      </c>
      <c r="B391" s="36" t="s">
        <v>1180</v>
      </c>
      <c r="C391" s="37">
        <v>73</v>
      </c>
    </row>
    <row r="392" spans="1:3" ht="15" thickBot="1" x14ac:dyDescent="0.35">
      <c r="A392" s="36" t="s">
        <v>2027</v>
      </c>
      <c r="B392" s="36" t="s">
        <v>2028</v>
      </c>
      <c r="C392" s="37">
        <v>73</v>
      </c>
    </row>
    <row r="393" spans="1:3" ht="15" thickBot="1" x14ac:dyDescent="0.35">
      <c r="A393" s="36" t="s">
        <v>844</v>
      </c>
      <c r="B393" s="36" t="s">
        <v>1245</v>
      </c>
      <c r="C393" s="37">
        <v>73</v>
      </c>
    </row>
    <row r="394" spans="1:3" ht="15" thickBot="1" x14ac:dyDescent="0.35">
      <c r="A394" s="36" t="s">
        <v>1627</v>
      </c>
      <c r="B394" s="36" t="s">
        <v>1174</v>
      </c>
      <c r="C394" s="37">
        <v>71</v>
      </c>
    </row>
    <row r="395" spans="1:3" ht="15" thickBot="1" x14ac:dyDescent="0.35">
      <c r="A395" s="36" t="s">
        <v>1654</v>
      </c>
      <c r="B395" s="36" t="s">
        <v>2535</v>
      </c>
      <c r="C395" s="37">
        <v>71</v>
      </c>
    </row>
    <row r="396" spans="1:3" ht="15" thickBot="1" x14ac:dyDescent="0.35">
      <c r="A396" s="36" t="s">
        <v>878</v>
      </c>
      <c r="B396" s="36" t="s">
        <v>1979</v>
      </c>
      <c r="C396" s="37">
        <v>69</v>
      </c>
    </row>
    <row r="397" spans="1:3" ht="15" thickBot="1" x14ac:dyDescent="0.35">
      <c r="A397" s="36"/>
      <c r="B397" s="36" t="s">
        <v>2536</v>
      </c>
      <c r="C397" s="37">
        <v>69</v>
      </c>
    </row>
    <row r="398" spans="1:3" ht="15" thickBot="1" x14ac:dyDescent="0.35">
      <c r="A398" s="36" t="s">
        <v>554</v>
      </c>
      <c r="B398" s="36" t="s">
        <v>2384</v>
      </c>
      <c r="C398" s="37">
        <v>68</v>
      </c>
    </row>
    <row r="399" spans="1:3" ht="15" thickBot="1" x14ac:dyDescent="0.35">
      <c r="A399" s="36" t="s">
        <v>522</v>
      </c>
      <c r="B399" s="36" t="s">
        <v>1247</v>
      </c>
      <c r="C399" s="37">
        <v>67</v>
      </c>
    </row>
    <row r="400" spans="1:3" ht="15" thickBot="1" x14ac:dyDescent="0.35">
      <c r="A400" s="36" t="s">
        <v>1641</v>
      </c>
      <c r="B400" s="36" t="s">
        <v>1194</v>
      </c>
      <c r="C400" s="37">
        <v>67</v>
      </c>
    </row>
    <row r="401" spans="1:3" ht="15" thickBot="1" x14ac:dyDescent="0.35">
      <c r="A401" s="36"/>
      <c r="B401" s="36" t="s">
        <v>1948</v>
      </c>
      <c r="C401" s="37">
        <v>67</v>
      </c>
    </row>
    <row r="402" spans="1:3" ht="15" thickBot="1" x14ac:dyDescent="0.35">
      <c r="A402" s="36" t="s">
        <v>758</v>
      </c>
      <c r="B402" s="36" t="s">
        <v>1151</v>
      </c>
      <c r="C402" s="37">
        <v>66</v>
      </c>
    </row>
    <row r="403" spans="1:3" ht="27.6" thickBot="1" x14ac:dyDescent="0.35">
      <c r="A403" s="36" t="s">
        <v>1650</v>
      </c>
      <c r="B403" s="36" t="s">
        <v>1204</v>
      </c>
      <c r="C403" s="37">
        <v>66</v>
      </c>
    </row>
    <row r="404" spans="1:3" ht="15" thickBot="1" x14ac:dyDescent="0.35">
      <c r="A404" s="36"/>
      <c r="B404" s="36" t="s">
        <v>1987</v>
      </c>
      <c r="C404" s="37">
        <v>66</v>
      </c>
    </row>
    <row r="405" spans="1:3" ht="15" thickBot="1" x14ac:dyDescent="0.35">
      <c r="A405" s="36" t="s">
        <v>1711</v>
      </c>
      <c r="B405" s="36" t="s">
        <v>1278</v>
      </c>
      <c r="C405" s="37">
        <v>66</v>
      </c>
    </row>
    <row r="406" spans="1:3" ht="15" thickBot="1" x14ac:dyDescent="0.35">
      <c r="A406" s="36" t="s">
        <v>1827</v>
      </c>
      <c r="B406" s="36" t="s">
        <v>1405</v>
      </c>
      <c r="C406" s="37">
        <v>66</v>
      </c>
    </row>
    <row r="407" spans="1:3" ht="15" thickBot="1" x14ac:dyDescent="0.35">
      <c r="A407" s="36" t="s">
        <v>578</v>
      </c>
      <c r="B407" s="36" t="s">
        <v>1263</v>
      </c>
      <c r="C407" s="37">
        <v>65</v>
      </c>
    </row>
    <row r="408" spans="1:3" ht="15" thickBot="1" x14ac:dyDescent="0.35">
      <c r="A408" s="36" t="s">
        <v>1645</v>
      </c>
      <c r="B408" s="36" t="s">
        <v>1199</v>
      </c>
      <c r="C408" s="37">
        <v>65</v>
      </c>
    </row>
    <row r="409" spans="1:3" ht="15" thickBot="1" x14ac:dyDescent="0.35">
      <c r="A409" s="36"/>
      <c r="B409" s="36" t="s">
        <v>2032</v>
      </c>
      <c r="C409" s="37">
        <v>65</v>
      </c>
    </row>
    <row r="410" spans="1:3" ht="15" thickBot="1" x14ac:dyDescent="0.35">
      <c r="A410" s="36" t="s">
        <v>572</v>
      </c>
      <c r="B410" s="36" t="s">
        <v>1423</v>
      </c>
      <c r="C410" s="37">
        <v>64</v>
      </c>
    </row>
    <row r="411" spans="1:3" ht="15" thickBot="1" x14ac:dyDescent="0.35">
      <c r="A411" s="36" t="s">
        <v>1636</v>
      </c>
      <c r="B411" s="36" t="s">
        <v>1188</v>
      </c>
      <c r="C411" s="37">
        <v>64</v>
      </c>
    </row>
    <row r="412" spans="1:3" ht="15" thickBot="1" x14ac:dyDescent="0.35">
      <c r="A412" s="36" t="s">
        <v>1844</v>
      </c>
      <c r="B412" s="36" t="s">
        <v>1420</v>
      </c>
      <c r="C412" s="37">
        <v>64</v>
      </c>
    </row>
    <row r="413" spans="1:3" ht="15" thickBot="1" x14ac:dyDescent="0.35">
      <c r="A413" s="36" t="s">
        <v>550</v>
      </c>
      <c r="B413" s="36" t="s">
        <v>1952</v>
      </c>
      <c r="C413" s="37">
        <v>63</v>
      </c>
    </row>
    <row r="414" spans="1:3" ht="15" thickBot="1" x14ac:dyDescent="0.35">
      <c r="A414" s="36"/>
      <c r="B414" s="36" t="s">
        <v>1951</v>
      </c>
      <c r="C414" s="37">
        <v>63</v>
      </c>
    </row>
    <row r="415" spans="1:3" ht="15" thickBot="1" x14ac:dyDescent="0.35">
      <c r="A415" s="36" t="s">
        <v>1656</v>
      </c>
      <c r="B415" s="36" t="s">
        <v>1209</v>
      </c>
      <c r="C415" s="37">
        <v>62</v>
      </c>
    </row>
    <row r="416" spans="1:3" ht="15" thickBot="1" x14ac:dyDescent="0.35">
      <c r="A416" s="36" t="s">
        <v>2537</v>
      </c>
      <c r="B416" s="36" t="s">
        <v>2538</v>
      </c>
      <c r="C416" s="37">
        <v>61</v>
      </c>
    </row>
    <row r="417" spans="1:3" ht="15" thickBot="1" x14ac:dyDescent="0.35">
      <c r="A417" s="36" t="s">
        <v>2539</v>
      </c>
      <c r="B417" s="36" t="s">
        <v>2540</v>
      </c>
      <c r="C417" s="37">
        <v>61</v>
      </c>
    </row>
    <row r="418" spans="1:3" ht="15" thickBot="1" x14ac:dyDescent="0.35">
      <c r="A418" s="36" t="s">
        <v>478</v>
      </c>
      <c r="B418" s="36" t="s">
        <v>2395</v>
      </c>
      <c r="C418" s="37">
        <v>60</v>
      </c>
    </row>
    <row r="419" spans="1:3" ht="15" thickBot="1" x14ac:dyDescent="0.35">
      <c r="A419" s="36" t="s">
        <v>1863</v>
      </c>
      <c r="B419" s="36" t="s">
        <v>1441</v>
      </c>
      <c r="C419" s="37">
        <v>60</v>
      </c>
    </row>
    <row r="420" spans="1:3" ht="15" thickBot="1" x14ac:dyDescent="0.35">
      <c r="A420" s="36"/>
      <c r="B420" s="36" t="s">
        <v>1953</v>
      </c>
      <c r="C420" s="37">
        <v>60</v>
      </c>
    </row>
    <row r="421" spans="1:3" ht="15" thickBot="1" x14ac:dyDescent="0.35">
      <c r="A421" s="36" t="s">
        <v>1613</v>
      </c>
      <c r="B421" s="36" t="s">
        <v>1145</v>
      </c>
      <c r="C421" s="37">
        <v>60</v>
      </c>
    </row>
    <row r="422" spans="1:3" ht="15" thickBot="1" x14ac:dyDescent="0.35">
      <c r="A422" s="36" t="s">
        <v>1655</v>
      </c>
      <c r="B422" s="36" t="s">
        <v>1208</v>
      </c>
      <c r="C422" s="37">
        <v>60</v>
      </c>
    </row>
    <row r="423" spans="1:3" ht="15" thickBot="1" x14ac:dyDescent="0.35">
      <c r="A423" s="36" t="s">
        <v>1653</v>
      </c>
      <c r="B423" s="36" t="s">
        <v>1207</v>
      </c>
      <c r="C423" s="37">
        <v>58</v>
      </c>
    </row>
    <row r="424" spans="1:3" ht="15" thickBot="1" x14ac:dyDescent="0.35">
      <c r="A424" s="36" t="s">
        <v>2541</v>
      </c>
      <c r="B424" s="36" t="s">
        <v>2542</v>
      </c>
      <c r="C424" s="37">
        <v>58</v>
      </c>
    </row>
    <row r="425" spans="1:3" ht="15" thickBot="1" x14ac:dyDescent="0.35">
      <c r="A425" s="36" t="s">
        <v>2543</v>
      </c>
      <c r="B425" s="36" t="s">
        <v>2544</v>
      </c>
      <c r="C425" s="37">
        <v>58</v>
      </c>
    </row>
    <row r="426" spans="1:3" ht="15" thickBot="1" x14ac:dyDescent="0.35">
      <c r="A426" s="36"/>
      <c r="B426" s="36" t="s">
        <v>2036</v>
      </c>
      <c r="C426" s="37">
        <v>58</v>
      </c>
    </row>
    <row r="427" spans="1:3" ht="15" thickBot="1" x14ac:dyDescent="0.35">
      <c r="A427" s="36" t="s">
        <v>746</v>
      </c>
      <c r="B427" s="36" t="s">
        <v>2069</v>
      </c>
      <c r="C427" s="37">
        <v>57</v>
      </c>
    </row>
    <row r="428" spans="1:3" ht="15" thickBot="1" x14ac:dyDescent="0.35">
      <c r="A428" s="36"/>
      <c r="B428" s="36" t="s">
        <v>1954</v>
      </c>
      <c r="C428" s="37">
        <v>57</v>
      </c>
    </row>
    <row r="429" spans="1:3" ht="15" thickBot="1" x14ac:dyDescent="0.35">
      <c r="A429" s="36" t="s">
        <v>2545</v>
      </c>
      <c r="B429" s="36" t="s">
        <v>2546</v>
      </c>
      <c r="C429" s="37">
        <v>57</v>
      </c>
    </row>
    <row r="430" spans="1:3" ht="15" thickBot="1" x14ac:dyDescent="0.35">
      <c r="A430" s="36" t="s">
        <v>2075</v>
      </c>
      <c r="B430" s="36" t="s">
        <v>2076</v>
      </c>
      <c r="C430" s="37">
        <v>56</v>
      </c>
    </row>
    <row r="431" spans="1:3" ht="15" thickBot="1" x14ac:dyDescent="0.35">
      <c r="A431" s="36" t="s">
        <v>2547</v>
      </c>
      <c r="B431" s="36" t="s">
        <v>2548</v>
      </c>
      <c r="C431" s="37">
        <v>56</v>
      </c>
    </row>
    <row r="432" spans="1:3" ht="15" thickBot="1" x14ac:dyDescent="0.35">
      <c r="A432" s="36" t="s">
        <v>1659</v>
      </c>
      <c r="B432" s="36" t="s">
        <v>1212</v>
      </c>
      <c r="C432" s="37">
        <v>56</v>
      </c>
    </row>
    <row r="433" spans="1:3" ht="15" thickBot="1" x14ac:dyDescent="0.35">
      <c r="A433" s="36"/>
      <c r="B433" s="36" t="s">
        <v>2037</v>
      </c>
      <c r="C433" s="37">
        <v>56</v>
      </c>
    </row>
    <row r="434" spans="1:3" ht="15" thickBot="1" x14ac:dyDescent="0.35">
      <c r="A434" s="36"/>
      <c r="B434" s="36" t="s">
        <v>1956</v>
      </c>
      <c r="C434" s="37">
        <v>56</v>
      </c>
    </row>
    <row r="435" spans="1:3" ht="15" thickBot="1" x14ac:dyDescent="0.35">
      <c r="A435" s="36" t="s">
        <v>2549</v>
      </c>
      <c r="B435" s="36" t="s">
        <v>2550</v>
      </c>
      <c r="C435" s="37">
        <v>56</v>
      </c>
    </row>
    <row r="436" spans="1:3" ht="15" thickBot="1" x14ac:dyDescent="0.35">
      <c r="A436" s="36" t="s">
        <v>2551</v>
      </c>
      <c r="B436" s="36" t="s">
        <v>2552</v>
      </c>
      <c r="C436" s="37">
        <v>55</v>
      </c>
    </row>
    <row r="437" spans="1:3" ht="15" thickBot="1" x14ac:dyDescent="0.35">
      <c r="A437" s="36"/>
      <c r="B437" s="36" t="s">
        <v>2553</v>
      </c>
      <c r="C437" s="37">
        <v>55</v>
      </c>
    </row>
    <row r="438" spans="1:3" ht="15" thickBot="1" x14ac:dyDescent="0.35">
      <c r="A438" s="36" t="s">
        <v>1823</v>
      </c>
      <c r="B438" s="36" t="s">
        <v>1401</v>
      </c>
      <c r="C438" s="37">
        <v>54</v>
      </c>
    </row>
    <row r="439" spans="1:3" ht="15" thickBot="1" x14ac:dyDescent="0.35">
      <c r="A439" s="36" t="s">
        <v>1712</v>
      </c>
      <c r="B439" s="36" t="s">
        <v>1280</v>
      </c>
      <c r="C439" s="37">
        <v>54</v>
      </c>
    </row>
    <row r="440" spans="1:3" ht="15" thickBot="1" x14ac:dyDescent="0.35">
      <c r="A440" s="36"/>
      <c r="B440" s="36" t="s">
        <v>1955</v>
      </c>
      <c r="C440" s="37">
        <v>53</v>
      </c>
    </row>
    <row r="441" spans="1:3" ht="15" thickBot="1" x14ac:dyDescent="0.35">
      <c r="A441" s="36"/>
      <c r="B441" s="36" t="s">
        <v>2554</v>
      </c>
      <c r="C441" s="37">
        <v>53</v>
      </c>
    </row>
    <row r="442" spans="1:3" ht="15" thickBot="1" x14ac:dyDescent="0.35">
      <c r="A442" s="36" t="s">
        <v>826</v>
      </c>
      <c r="B442" s="36" t="s">
        <v>1980</v>
      </c>
      <c r="C442" s="37">
        <v>53</v>
      </c>
    </row>
    <row r="443" spans="1:3" ht="15" thickBot="1" x14ac:dyDescent="0.35">
      <c r="A443" s="36" t="s">
        <v>2555</v>
      </c>
      <c r="B443" s="36" t="s">
        <v>2556</v>
      </c>
      <c r="C443" s="37">
        <v>53</v>
      </c>
    </row>
    <row r="444" spans="1:3" ht="15" thickBot="1" x14ac:dyDescent="0.35">
      <c r="A444" s="36" t="s">
        <v>2557</v>
      </c>
      <c r="B444" s="36" t="s">
        <v>2558</v>
      </c>
      <c r="C444" s="37">
        <v>53</v>
      </c>
    </row>
    <row r="445" spans="1:3" ht="15" thickBot="1" x14ac:dyDescent="0.35">
      <c r="A445" s="36"/>
      <c r="B445" s="36" t="s">
        <v>2040</v>
      </c>
      <c r="C445" s="37">
        <v>52</v>
      </c>
    </row>
    <row r="446" spans="1:3" ht="15" thickBot="1" x14ac:dyDescent="0.35">
      <c r="A446" s="36" t="s">
        <v>2559</v>
      </c>
      <c r="B446" s="36" t="s">
        <v>2560</v>
      </c>
      <c r="C446" s="37">
        <v>52</v>
      </c>
    </row>
    <row r="447" spans="1:3" ht="15" thickBot="1" x14ac:dyDescent="0.35">
      <c r="A447" s="36" t="s">
        <v>1664</v>
      </c>
      <c r="B447" s="36" t="s">
        <v>1219</v>
      </c>
      <c r="C447" s="37">
        <v>51</v>
      </c>
    </row>
    <row r="448" spans="1:3" ht="15" thickBot="1" x14ac:dyDescent="0.35">
      <c r="A448" s="36" t="s">
        <v>1649</v>
      </c>
      <c r="B448" s="36" t="s">
        <v>2561</v>
      </c>
      <c r="C448" s="37">
        <v>51</v>
      </c>
    </row>
    <row r="449" spans="1:3" ht="15" thickBot="1" x14ac:dyDescent="0.35">
      <c r="A449" s="36"/>
      <c r="B449" s="36" t="s">
        <v>2035</v>
      </c>
      <c r="C449" s="37">
        <v>51</v>
      </c>
    </row>
    <row r="450" spans="1:3" ht="15" thickBot="1" x14ac:dyDescent="0.35">
      <c r="A450" s="36" t="s">
        <v>2033</v>
      </c>
      <c r="B450" s="36" t="s">
        <v>2034</v>
      </c>
      <c r="C450" s="37">
        <v>51</v>
      </c>
    </row>
    <row r="451" spans="1:3" ht="15" thickBot="1" x14ac:dyDescent="0.35">
      <c r="A451" s="36" t="s">
        <v>2562</v>
      </c>
      <c r="B451" s="36" t="s">
        <v>2563</v>
      </c>
      <c r="C451" s="37">
        <v>51</v>
      </c>
    </row>
    <row r="452" spans="1:3" ht="15" thickBot="1" x14ac:dyDescent="0.35">
      <c r="A452" s="36" t="s">
        <v>2564</v>
      </c>
      <c r="B452" s="36" t="s">
        <v>2565</v>
      </c>
      <c r="C452" s="37">
        <v>51</v>
      </c>
    </row>
    <row r="453" spans="1:3" ht="15" thickBot="1" x14ac:dyDescent="0.35">
      <c r="A453" s="36"/>
      <c r="B453" s="36" t="s">
        <v>2566</v>
      </c>
      <c r="C453" s="37">
        <v>50</v>
      </c>
    </row>
    <row r="454" spans="1:3" ht="15" thickBot="1" x14ac:dyDescent="0.35">
      <c r="A454" s="36" t="s">
        <v>1651</v>
      </c>
      <c r="B454" s="36" t="s">
        <v>1205</v>
      </c>
      <c r="C454" s="37">
        <v>50</v>
      </c>
    </row>
    <row r="455" spans="1:3" ht="15" thickBot="1" x14ac:dyDescent="0.35">
      <c r="A455" s="36"/>
      <c r="B455" s="36" t="s">
        <v>2009</v>
      </c>
      <c r="C455" s="37">
        <v>50</v>
      </c>
    </row>
    <row r="456" spans="1:3" ht="15" thickBot="1" x14ac:dyDescent="0.35">
      <c r="A456" s="36"/>
      <c r="B456" s="36" t="s">
        <v>1957</v>
      </c>
      <c r="C456" s="37">
        <v>50</v>
      </c>
    </row>
    <row r="457" spans="1:3" ht="15" thickBot="1" x14ac:dyDescent="0.35">
      <c r="A457" s="36" t="s">
        <v>734</v>
      </c>
      <c r="B457" s="36" t="s">
        <v>2427</v>
      </c>
      <c r="C457" s="37">
        <v>50</v>
      </c>
    </row>
    <row r="458" spans="1:3" ht="15" thickBot="1" x14ac:dyDescent="0.35">
      <c r="A458" s="36" t="s">
        <v>2567</v>
      </c>
      <c r="B458" s="36" t="s">
        <v>2568</v>
      </c>
      <c r="C458" s="37">
        <v>50</v>
      </c>
    </row>
    <row r="459" spans="1:3" ht="15" thickBot="1" x14ac:dyDescent="0.35">
      <c r="A459" s="36" t="s">
        <v>1657</v>
      </c>
      <c r="B459" s="36" t="s">
        <v>1210</v>
      </c>
      <c r="C459" s="37">
        <v>49</v>
      </c>
    </row>
    <row r="460" spans="1:3" ht="15" thickBot="1" x14ac:dyDescent="0.35">
      <c r="A460" s="36" t="s">
        <v>630</v>
      </c>
      <c r="B460" s="36" t="s">
        <v>2103</v>
      </c>
      <c r="C460" s="37">
        <v>49</v>
      </c>
    </row>
    <row r="461" spans="1:3" ht="15" thickBot="1" x14ac:dyDescent="0.35">
      <c r="A461" s="36" t="s">
        <v>1647</v>
      </c>
      <c r="B461" s="36" t="s">
        <v>1201</v>
      </c>
      <c r="C461" s="37">
        <v>49</v>
      </c>
    </row>
    <row r="462" spans="1:3" ht="15" thickBot="1" x14ac:dyDescent="0.35">
      <c r="A462" s="36"/>
      <c r="B462" s="36" t="s">
        <v>2025</v>
      </c>
      <c r="C462" s="37">
        <v>49</v>
      </c>
    </row>
    <row r="463" spans="1:3" ht="15" thickBot="1" x14ac:dyDescent="0.35">
      <c r="A463" s="36" t="s">
        <v>1628</v>
      </c>
      <c r="B463" s="36" t="s">
        <v>1176</v>
      </c>
      <c r="C463" s="37">
        <v>48</v>
      </c>
    </row>
    <row r="464" spans="1:3" ht="27.6" thickBot="1" x14ac:dyDescent="0.35">
      <c r="A464" s="36" t="s">
        <v>1671</v>
      </c>
      <c r="B464" s="36" t="s">
        <v>1231</v>
      </c>
      <c r="C464" s="37">
        <v>48</v>
      </c>
    </row>
    <row r="465" spans="1:3" ht="15" thickBot="1" x14ac:dyDescent="0.35">
      <c r="A465" s="36" t="s">
        <v>2136</v>
      </c>
      <c r="B465" s="36" t="s">
        <v>2569</v>
      </c>
      <c r="C465" s="37">
        <v>48</v>
      </c>
    </row>
    <row r="466" spans="1:3" ht="15" thickBot="1" x14ac:dyDescent="0.35">
      <c r="A466" s="36"/>
      <c r="B466" s="36" t="s">
        <v>2039</v>
      </c>
      <c r="C466" s="37">
        <v>48</v>
      </c>
    </row>
    <row r="467" spans="1:3" ht="15" thickBot="1" x14ac:dyDescent="0.35">
      <c r="A467" s="36" t="s">
        <v>2570</v>
      </c>
      <c r="B467" s="36" t="s">
        <v>2571</v>
      </c>
      <c r="C467" s="37">
        <v>48</v>
      </c>
    </row>
    <row r="468" spans="1:3" ht="15" thickBot="1" x14ac:dyDescent="0.35">
      <c r="A468" s="36" t="s">
        <v>1642</v>
      </c>
      <c r="B468" s="36" t="s">
        <v>1197</v>
      </c>
      <c r="C468" s="37">
        <v>48</v>
      </c>
    </row>
    <row r="469" spans="1:3" ht="15" thickBot="1" x14ac:dyDescent="0.35">
      <c r="A469" s="36" t="s">
        <v>1665</v>
      </c>
      <c r="B469" s="36" t="s">
        <v>1224</v>
      </c>
      <c r="C469" s="37">
        <v>47</v>
      </c>
    </row>
    <row r="470" spans="1:3" ht="15" thickBot="1" x14ac:dyDescent="0.35">
      <c r="A470" s="36" t="s">
        <v>1660</v>
      </c>
      <c r="B470" s="36" t="s">
        <v>1214</v>
      </c>
      <c r="C470" s="37">
        <v>47</v>
      </c>
    </row>
    <row r="471" spans="1:3" ht="15" thickBot="1" x14ac:dyDescent="0.35">
      <c r="A471" s="36"/>
      <c r="B471" s="36" t="s">
        <v>2572</v>
      </c>
      <c r="C471" s="37">
        <v>46</v>
      </c>
    </row>
    <row r="472" spans="1:3" ht="15" thickBot="1" x14ac:dyDescent="0.35">
      <c r="A472" s="36" t="s">
        <v>1662</v>
      </c>
      <c r="B472" s="36" t="s">
        <v>1217</v>
      </c>
      <c r="C472" s="37">
        <v>46</v>
      </c>
    </row>
    <row r="473" spans="1:3" ht="15" thickBot="1" x14ac:dyDescent="0.35">
      <c r="A473" s="36" t="s">
        <v>586</v>
      </c>
      <c r="B473" s="36" t="s">
        <v>1266</v>
      </c>
      <c r="C473" s="37">
        <v>46</v>
      </c>
    </row>
    <row r="474" spans="1:3" ht="15" thickBot="1" x14ac:dyDescent="0.35">
      <c r="A474" s="36"/>
      <c r="B474" s="36" t="s">
        <v>2038</v>
      </c>
      <c r="C474" s="37">
        <v>46</v>
      </c>
    </row>
    <row r="475" spans="1:3" ht="27.6" thickBot="1" x14ac:dyDescent="0.35">
      <c r="A475" s="36" t="s">
        <v>656</v>
      </c>
      <c r="B475" s="36" t="s">
        <v>1230</v>
      </c>
      <c r="C475" s="37">
        <v>45</v>
      </c>
    </row>
    <row r="476" spans="1:3" ht="15" thickBot="1" x14ac:dyDescent="0.35">
      <c r="A476" s="36" t="s">
        <v>2573</v>
      </c>
      <c r="B476" s="36" t="s">
        <v>2574</v>
      </c>
      <c r="C476" s="37">
        <v>45</v>
      </c>
    </row>
    <row r="477" spans="1:3" ht="15" thickBot="1" x14ac:dyDescent="0.35">
      <c r="A477" s="36" t="s">
        <v>1854</v>
      </c>
      <c r="B477" s="36" t="s">
        <v>1431</v>
      </c>
      <c r="C477" s="37">
        <v>45</v>
      </c>
    </row>
    <row r="478" spans="1:3" ht="15" thickBot="1" x14ac:dyDescent="0.35">
      <c r="A478" s="36" t="s">
        <v>1792</v>
      </c>
      <c r="B478" s="36" t="s">
        <v>1366</v>
      </c>
      <c r="C478" s="37">
        <v>45</v>
      </c>
    </row>
    <row r="479" spans="1:3" ht="15" thickBot="1" x14ac:dyDescent="0.35">
      <c r="A479" s="36" t="s">
        <v>1637</v>
      </c>
      <c r="B479" s="36" t="s">
        <v>1189</v>
      </c>
      <c r="C479" s="37">
        <v>44</v>
      </c>
    </row>
    <row r="480" spans="1:3" ht="15" thickBot="1" x14ac:dyDescent="0.35">
      <c r="A480" s="36" t="s">
        <v>1748</v>
      </c>
      <c r="B480" s="36" t="s">
        <v>2575</v>
      </c>
      <c r="C480" s="37">
        <v>43</v>
      </c>
    </row>
    <row r="481" spans="1:3" ht="27.6" thickBot="1" x14ac:dyDescent="0.35">
      <c r="A481" s="36" t="s">
        <v>1678</v>
      </c>
      <c r="B481" s="36" t="s">
        <v>1239</v>
      </c>
      <c r="C481" s="37">
        <v>43</v>
      </c>
    </row>
    <row r="482" spans="1:3" ht="15" thickBot="1" x14ac:dyDescent="0.35">
      <c r="A482" s="36" t="s">
        <v>1652</v>
      </c>
      <c r="B482" s="36" t="s">
        <v>1206</v>
      </c>
      <c r="C482" s="37">
        <v>43</v>
      </c>
    </row>
    <row r="483" spans="1:3" ht="15" thickBot="1" x14ac:dyDescent="0.35">
      <c r="A483" s="36" t="s">
        <v>2576</v>
      </c>
      <c r="B483" s="36" t="s">
        <v>2577</v>
      </c>
      <c r="C483" s="37">
        <v>43</v>
      </c>
    </row>
    <row r="484" spans="1:3" ht="15" thickBot="1" x14ac:dyDescent="0.35">
      <c r="A484" s="36" t="s">
        <v>1668</v>
      </c>
      <c r="B484" s="36" t="s">
        <v>1227</v>
      </c>
      <c r="C484" s="37">
        <v>43</v>
      </c>
    </row>
    <row r="485" spans="1:3" ht="15" thickBot="1" x14ac:dyDescent="0.35">
      <c r="A485" s="36" t="s">
        <v>2578</v>
      </c>
      <c r="B485" s="36" t="s">
        <v>2579</v>
      </c>
      <c r="C485" s="37">
        <v>43</v>
      </c>
    </row>
    <row r="486" spans="1:3" ht="15" thickBot="1" x14ac:dyDescent="0.35">
      <c r="A486" s="36"/>
      <c r="B486" s="36" t="s">
        <v>1962</v>
      </c>
      <c r="C486" s="37">
        <v>43</v>
      </c>
    </row>
    <row r="487" spans="1:3" ht="15" thickBot="1" x14ac:dyDescent="0.35">
      <c r="A487" s="36" t="s">
        <v>1631</v>
      </c>
      <c r="B487" s="36" t="s">
        <v>1181</v>
      </c>
      <c r="C487" s="37">
        <v>42</v>
      </c>
    </row>
    <row r="488" spans="1:3" ht="15" thickBot="1" x14ac:dyDescent="0.35">
      <c r="A488" s="36" t="s">
        <v>1673</v>
      </c>
      <c r="B488" s="36" t="s">
        <v>1234</v>
      </c>
      <c r="C488" s="37">
        <v>42</v>
      </c>
    </row>
    <row r="489" spans="1:3" ht="15" thickBot="1" x14ac:dyDescent="0.35">
      <c r="A489" s="36" t="s">
        <v>750</v>
      </c>
      <c r="B489" s="36" t="s">
        <v>1173</v>
      </c>
      <c r="C489" s="37">
        <v>41</v>
      </c>
    </row>
    <row r="490" spans="1:3" ht="15" thickBot="1" x14ac:dyDescent="0.35">
      <c r="A490" s="36" t="s">
        <v>1738</v>
      </c>
      <c r="B490" s="36" t="s">
        <v>1308</v>
      </c>
      <c r="C490" s="37">
        <v>41</v>
      </c>
    </row>
    <row r="491" spans="1:3" ht="15" thickBot="1" x14ac:dyDescent="0.35">
      <c r="A491" s="36" t="s">
        <v>642</v>
      </c>
      <c r="B491" s="36" t="s">
        <v>1195</v>
      </c>
      <c r="C491" s="37">
        <v>40</v>
      </c>
    </row>
    <row r="492" spans="1:3" ht="15" thickBot="1" x14ac:dyDescent="0.35">
      <c r="A492" s="36" t="s">
        <v>1670</v>
      </c>
      <c r="B492" s="36" t="s">
        <v>1229</v>
      </c>
      <c r="C492" s="37">
        <v>40</v>
      </c>
    </row>
    <row r="493" spans="1:3" ht="15" thickBot="1" x14ac:dyDescent="0.35">
      <c r="A493" s="36"/>
      <c r="B493" s="36" t="s">
        <v>2049</v>
      </c>
      <c r="C493" s="37">
        <v>40</v>
      </c>
    </row>
    <row r="494" spans="1:3" ht="15" thickBot="1" x14ac:dyDescent="0.35">
      <c r="A494" s="36" t="s">
        <v>1693</v>
      </c>
      <c r="B494" s="36" t="s">
        <v>1257</v>
      </c>
      <c r="C494" s="37">
        <v>40</v>
      </c>
    </row>
    <row r="495" spans="1:3" ht="15" thickBot="1" x14ac:dyDescent="0.35">
      <c r="A495" s="36" t="s">
        <v>1804</v>
      </c>
      <c r="B495" s="36" t="s">
        <v>1380</v>
      </c>
      <c r="C495" s="37">
        <v>40</v>
      </c>
    </row>
    <row r="496" spans="1:3" ht="27.6" thickBot="1" x14ac:dyDescent="0.35">
      <c r="A496" s="36" t="s">
        <v>1681</v>
      </c>
      <c r="B496" s="36" t="s">
        <v>1242</v>
      </c>
      <c r="C496" s="37">
        <v>40</v>
      </c>
    </row>
    <row r="497" spans="1:3" ht="15" thickBot="1" x14ac:dyDescent="0.35">
      <c r="A497" s="36"/>
      <c r="B497" s="36" t="s">
        <v>2024</v>
      </c>
      <c r="C497" s="37">
        <v>40</v>
      </c>
    </row>
    <row r="498" spans="1:3" ht="15" thickBot="1" x14ac:dyDescent="0.35">
      <c r="A498" s="36" t="s">
        <v>2580</v>
      </c>
      <c r="B498" s="36" t="s">
        <v>2581</v>
      </c>
      <c r="C498" s="37">
        <v>40</v>
      </c>
    </row>
    <row r="499" spans="1:3" ht="15" thickBot="1" x14ac:dyDescent="0.35">
      <c r="A499" s="36" t="s">
        <v>1676</v>
      </c>
      <c r="B499" s="36" t="s">
        <v>1237</v>
      </c>
      <c r="C499" s="37">
        <v>39</v>
      </c>
    </row>
    <row r="500" spans="1:3" ht="15" thickBot="1" x14ac:dyDescent="0.35">
      <c r="A500" s="36" t="s">
        <v>1694</v>
      </c>
      <c r="B500" s="36" t="s">
        <v>1258</v>
      </c>
      <c r="C500" s="37">
        <v>38</v>
      </c>
    </row>
    <row r="501" spans="1:3" ht="27.6" thickBot="1" x14ac:dyDescent="0.35">
      <c r="A501" s="36" t="s">
        <v>1683</v>
      </c>
      <c r="B501" s="36" t="s">
        <v>1244</v>
      </c>
      <c r="C501" s="37">
        <v>38</v>
      </c>
    </row>
    <row r="502" spans="1:3" ht="15" thickBot="1" x14ac:dyDescent="0.35">
      <c r="A502" s="36" t="s">
        <v>2582</v>
      </c>
      <c r="B502" s="36" t="s">
        <v>2583</v>
      </c>
      <c r="C502" s="37">
        <v>38</v>
      </c>
    </row>
    <row r="503" spans="1:3" ht="15" thickBot="1" x14ac:dyDescent="0.35">
      <c r="A503" s="36"/>
      <c r="B503" s="36" t="s">
        <v>1961</v>
      </c>
      <c r="C503" s="37">
        <v>38</v>
      </c>
    </row>
    <row r="504" spans="1:3" ht="15" thickBot="1" x14ac:dyDescent="0.35">
      <c r="A504" s="36" t="s">
        <v>2584</v>
      </c>
      <c r="B504" s="36" t="s">
        <v>2585</v>
      </c>
      <c r="C504" s="37">
        <v>38</v>
      </c>
    </row>
    <row r="505" spans="1:3" ht="15" thickBot="1" x14ac:dyDescent="0.35">
      <c r="A505" s="36" t="s">
        <v>2041</v>
      </c>
      <c r="B505" s="36" t="s">
        <v>2042</v>
      </c>
      <c r="C505" s="37">
        <v>38</v>
      </c>
    </row>
    <row r="506" spans="1:3" ht="15" thickBot="1" x14ac:dyDescent="0.35">
      <c r="A506" s="36" t="s">
        <v>2237</v>
      </c>
      <c r="B506" s="36" t="s">
        <v>2586</v>
      </c>
      <c r="C506" s="37">
        <v>37</v>
      </c>
    </row>
    <row r="507" spans="1:3" ht="27.6" thickBot="1" x14ac:dyDescent="0.35">
      <c r="A507" s="36" t="s">
        <v>1701</v>
      </c>
      <c r="B507" s="36" t="s">
        <v>1267</v>
      </c>
      <c r="C507" s="37">
        <v>37</v>
      </c>
    </row>
    <row r="508" spans="1:3" ht="15" thickBot="1" x14ac:dyDescent="0.35">
      <c r="A508" s="36"/>
      <c r="B508" s="36" t="s">
        <v>1982</v>
      </c>
      <c r="C508" s="37">
        <v>37</v>
      </c>
    </row>
    <row r="509" spans="1:3" ht="15" thickBot="1" x14ac:dyDescent="0.35">
      <c r="A509" s="36" t="s">
        <v>1687</v>
      </c>
      <c r="B509" s="36" t="s">
        <v>1251</v>
      </c>
      <c r="C509" s="37">
        <v>37</v>
      </c>
    </row>
    <row r="510" spans="1:3" ht="27.6" thickBot="1" x14ac:dyDescent="0.35">
      <c r="A510" s="36" t="s">
        <v>1703</v>
      </c>
      <c r="B510" s="36" t="s">
        <v>1269</v>
      </c>
      <c r="C510" s="37">
        <v>36</v>
      </c>
    </row>
    <row r="511" spans="1:3" ht="15" thickBot="1" x14ac:dyDescent="0.35">
      <c r="A511" s="36" t="s">
        <v>1674</v>
      </c>
      <c r="B511" s="36" t="s">
        <v>1235</v>
      </c>
      <c r="C511" s="37">
        <v>36</v>
      </c>
    </row>
    <row r="512" spans="1:3" ht="27.6" thickBot="1" x14ac:dyDescent="0.35">
      <c r="A512" s="36" t="s">
        <v>1708</v>
      </c>
      <c r="B512" s="36" t="s">
        <v>1274</v>
      </c>
      <c r="C512" s="37">
        <v>35</v>
      </c>
    </row>
    <row r="513" spans="1:3" ht="15" thickBot="1" x14ac:dyDescent="0.35">
      <c r="A513" s="36" t="s">
        <v>1588</v>
      </c>
      <c r="B513" s="36" t="s">
        <v>1078</v>
      </c>
      <c r="C513" s="37">
        <v>35</v>
      </c>
    </row>
    <row r="514" spans="1:3" ht="15" thickBot="1" x14ac:dyDescent="0.35">
      <c r="A514" s="36" t="s">
        <v>1729</v>
      </c>
      <c r="B514" s="36" t="s">
        <v>1298</v>
      </c>
      <c r="C514" s="37">
        <v>35</v>
      </c>
    </row>
    <row r="515" spans="1:3" ht="15" thickBot="1" x14ac:dyDescent="0.35">
      <c r="A515" s="36" t="s">
        <v>1817</v>
      </c>
      <c r="B515" s="36" t="s">
        <v>1395</v>
      </c>
      <c r="C515" s="37">
        <v>35</v>
      </c>
    </row>
    <row r="516" spans="1:3" ht="27.6" thickBot="1" x14ac:dyDescent="0.35">
      <c r="A516" s="36" t="s">
        <v>1677</v>
      </c>
      <c r="B516" s="36" t="s">
        <v>1238</v>
      </c>
      <c r="C516" s="37">
        <v>35</v>
      </c>
    </row>
    <row r="517" spans="1:3" ht="15" thickBot="1" x14ac:dyDescent="0.35">
      <c r="A517" s="36" t="s">
        <v>1686</v>
      </c>
      <c r="B517" s="36" t="s">
        <v>1249</v>
      </c>
      <c r="C517" s="37">
        <v>35</v>
      </c>
    </row>
    <row r="518" spans="1:3" ht="15" thickBot="1" x14ac:dyDescent="0.35">
      <c r="A518" s="36" t="s">
        <v>1689</v>
      </c>
      <c r="B518" s="36" t="s">
        <v>1253</v>
      </c>
      <c r="C518" s="37">
        <v>35</v>
      </c>
    </row>
    <row r="519" spans="1:3" ht="15" thickBot="1" x14ac:dyDescent="0.35">
      <c r="A519" s="36" t="s">
        <v>1685</v>
      </c>
      <c r="B519" s="36" t="s">
        <v>1248</v>
      </c>
      <c r="C519" s="37">
        <v>35</v>
      </c>
    </row>
    <row r="520" spans="1:3" ht="15" thickBot="1" x14ac:dyDescent="0.35">
      <c r="A520" s="36" t="s">
        <v>1698</v>
      </c>
      <c r="B520" s="36" t="s">
        <v>1262</v>
      </c>
      <c r="C520" s="37">
        <v>34</v>
      </c>
    </row>
    <row r="521" spans="1:3" ht="15" thickBot="1" x14ac:dyDescent="0.35">
      <c r="A521" s="36"/>
      <c r="B521" s="36" t="s">
        <v>2048</v>
      </c>
      <c r="C521" s="37">
        <v>34</v>
      </c>
    </row>
    <row r="522" spans="1:3" ht="27.6" thickBot="1" x14ac:dyDescent="0.35">
      <c r="A522" s="37" t="s">
        <v>1666</v>
      </c>
      <c r="B522" s="36" t="s">
        <v>1225</v>
      </c>
      <c r="C522" s="37">
        <v>34</v>
      </c>
    </row>
    <row r="523" spans="1:3" ht="27.6" thickBot="1" x14ac:dyDescent="0.35">
      <c r="A523" s="36" t="s">
        <v>1713</v>
      </c>
      <c r="B523" s="36" t="s">
        <v>1281</v>
      </c>
      <c r="C523" s="37">
        <v>34</v>
      </c>
    </row>
    <row r="524" spans="1:3" ht="15" thickBot="1" x14ac:dyDescent="0.35">
      <c r="A524" s="36" t="s">
        <v>668</v>
      </c>
      <c r="B524" s="36" t="s">
        <v>2137</v>
      </c>
      <c r="C524" s="37">
        <v>34</v>
      </c>
    </row>
    <row r="525" spans="1:3" ht="27.6" thickBot="1" x14ac:dyDescent="0.35">
      <c r="A525" s="36" t="s">
        <v>1714</v>
      </c>
      <c r="B525" s="36" t="s">
        <v>1282</v>
      </c>
      <c r="C525" s="37">
        <v>34</v>
      </c>
    </row>
    <row r="526" spans="1:3" ht="15" thickBot="1" x14ac:dyDescent="0.35">
      <c r="A526" s="36" t="s">
        <v>1822</v>
      </c>
      <c r="B526" s="36" t="s">
        <v>1400</v>
      </c>
      <c r="C526" s="37">
        <v>34</v>
      </c>
    </row>
    <row r="527" spans="1:3" ht="15" thickBot="1" x14ac:dyDescent="0.35">
      <c r="A527" s="36"/>
      <c r="B527" s="36" t="s">
        <v>2052</v>
      </c>
      <c r="C527" s="37">
        <v>34</v>
      </c>
    </row>
    <row r="528" spans="1:3" ht="15" thickBot="1" x14ac:dyDescent="0.35">
      <c r="A528" s="36" t="s">
        <v>1700</v>
      </c>
      <c r="B528" s="36" t="s">
        <v>1265</v>
      </c>
      <c r="C528" s="37">
        <v>34</v>
      </c>
    </row>
    <row r="529" spans="1:3" ht="27.6" thickBot="1" x14ac:dyDescent="0.35">
      <c r="A529" s="36" t="s">
        <v>1718</v>
      </c>
      <c r="B529" s="36" t="s">
        <v>1286</v>
      </c>
      <c r="C529" s="37">
        <v>33</v>
      </c>
    </row>
    <row r="530" spans="1:3" ht="15" thickBot="1" x14ac:dyDescent="0.35">
      <c r="A530" s="36" t="s">
        <v>2587</v>
      </c>
      <c r="B530" s="36" t="s">
        <v>2588</v>
      </c>
      <c r="C530" s="37">
        <v>33</v>
      </c>
    </row>
    <row r="531" spans="1:3" ht="15" thickBot="1" x14ac:dyDescent="0.35">
      <c r="A531" s="36"/>
      <c r="B531" s="36" t="s">
        <v>1965</v>
      </c>
      <c r="C531" s="37">
        <v>32</v>
      </c>
    </row>
    <row r="532" spans="1:3" ht="15" thickBot="1" x14ac:dyDescent="0.35">
      <c r="A532" s="36" t="s">
        <v>338</v>
      </c>
      <c r="B532" s="36" t="s">
        <v>2406</v>
      </c>
      <c r="C532" s="37">
        <v>32</v>
      </c>
    </row>
    <row r="533" spans="1:3" ht="27.6" thickBot="1" x14ac:dyDescent="0.35">
      <c r="A533" s="36" t="s">
        <v>1721</v>
      </c>
      <c r="B533" s="36" t="s">
        <v>1289</v>
      </c>
      <c r="C533" s="37">
        <v>32</v>
      </c>
    </row>
    <row r="534" spans="1:3" ht="15" thickBot="1" x14ac:dyDescent="0.35">
      <c r="A534" s="36" t="s">
        <v>1688</v>
      </c>
      <c r="B534" s="36" t="s">
        <v>1252</v>
      </c>
      <c r="C534" s="37">
        <v>32</v>
      </c>
    </row>
    <row r="535" spans="1:3" ht="15" thickBot="1" x14ac:dyDescent="0.35">
      <c r="A535" s="36"/>
      <c r="B535" s="36" t="s">
        <v>2051</v>
      </c>
      <c r="C535" s="37">
        <v>32</v>
      </c>
    </row>
    <row r="536" spans="1:3" ht="27.6" thickBot="1" x14ac:dyDescent="0.35">
      <c r="A536" s="36" t="s">
        <v>1723</v>
      </c>
      <c r="B536" s="36" t="s">
        <v>1292</v>
      </c>
      <c r="C536" s="37">
        <v>31</v>
      </c>
    </row>
    <row r="537" spans="1:3" ht="15" thickBot="1" x14ac:dyDescent="0.35">
      <c r="A537" s="36" t="s">
        <v>1695</v>
      </c>
      <c r="B537" s="36" t="s">
        <v>1259</v>
      </c>
      <c r="C537" s="37">
        <v>31</v>
      </c>
    </row>
    <row r="538" spans="1:3" ht="15" thickBot="1" x14ac:dyDescent="0.35">
      <c r="A538" s="36" t="s">
        <v>1569</v>
      </c>
      <c r="B538" s="36" t="s">
        <v>1025</v>
      </c>
      <c r="C538" s="37">
        <v>31</v>
      </c>
    </row>
    <row r="539" spans="1:3" ht="15" thickBot="1" x14ac:dyDescent="0.35">
      <c r="A539" s="36" t="s">
        <v>1699</v>
      </c>
      <c r="B539" s="36" t="s">
        <v>1264</v>
      </c>
      <c r="C539" s="37">
        <v>31</v>
      </c>
    </row>
    <row r="540" spans="1:3" ht="15" thickBot="1" x14ac:dyDescent="0.35">
      <c r="A540" s="36" t="s">
        <v>1646</v>
      </c>
      <c r="B540" s="36" t="s">
        <v>1200</v>
      </c>
      <c r="C540" s="37">
        <v>31</v>
      </c>
    </row>
    <row r="541" spans="1:3" ht="15" thickBot="1" x14ac:dyDescent="0.35">
      <c r="A541" s="36" t="s">
        <v>788</v>
      </c>
      <c r="B541" s="36" t="s">
        <v>2589</v>
      </c>
      <c r="C541" s="37">
        <v>30</v>
      </c>
    </row>
    <row r="542" spans="1:3" ht="15" thickBot="1" x14ac:dyDescent="0.35">
      <c r="A542" s="36" t="s">
        <v>2590</v>
      </c>
      <c r="B542" s="36" t="s">
        <v>2591</v>
      </c>
      <c r="C542" s="37">
        <v>30</v>
      </c>
    </row>
    <row r="543" spans="1:3" ht="15" thickBot="1" x14ac:dyDescent="0.35">
      <c r="A543" s="36" t="s">
        <v>1692</v>
      </c>
      <c r="B543" s="36" t="s">
        <v>1256</v>
      </c>
      <c r="C543" s="37">
        <v>30</v>
      </c>
    </row>
    <row r="544" spans="1:3" ht="27.6" thickBot="1" x14ac:dyDescent="0.35">
      <c r="A544" s="36" t="s">
        <v>1730</v>
      </c>
      <c r="B544" s="36" t="s">
        <v>1299</v>
      </c>
      <c r="C544" s="37">
        <v>30</v>
      </c>
    </row>
    <row r="545" spans="1:3" ht="15" thickBot="1" x14ac:dyDescent="0.35">
      <c r="A545" s="36"/>
      <c r="B545" s="36" t="s">
        <v>2592</v>
      </c>
      <c r="C545" s="37">
        <v>30</v>
      </c>
    </row>
    <row r="546" spans="1:3" ht="15" thickBot="1" x14ac:dyDescent="0.35">
      <c r="A546" s="36" t="s">
        <v>2593</v>
      </c>
      <c r="B546" s="36" t="s">
        <v>2594</v>
      </c>
      <c r="C546" s="37">
        <v>30</v>
      </c>
    </row>
    <row r="547" spans="1:3" ht="15" thickBot="1" x14ac:dyDescent="0.35">
      <c r="A547" s="36" t="s">
        <v>1697</v>
      </c>
      <c r="B547" s="36" t="s">
        <v>1261</v>
      </c>
      <c r="C547" s="37">
        <v>30</v>
      </c>
    </row>
    <row r="548" spans="1:3" ht="15" thickBot="1" x14ac:dyDescent="0.35">
      <c r="A548" s="36" t="s">
        <v>812</v>
      </c>
      <c r="B548" s="36" t="s">
        <v>2595</v>
      </c>
      <c r="C548" s="37">
        <v>29</v>
      </c>
    </row>
    <row r="549" spans="1:3" ht="15" thickBot="1" x14ac:dyDescent="0.35">
      <c r="A549" s="36" t="s">
        <v>1726</v>
      </c>
      <c r="B549" s="36" t="s">
        <v>1295</v>
      </c>
      <c r="C549" s="37">
        <v>29</v>
      </c>
    </row>
    <row r="550" spans="1:3" ht="15" thickBot="1" x14ac:dyDescent="0.35">
      <c r="A550" s="36" t="s">
        <v>2066</v>
      </c>
      <c r="B550" s="36" t="s">
        <v>2067</v>
      </c>
      <c r="C550" s="37">
        <v>29</v>
      </c>
    </row>
    <row r="551" spans="1:3" ht="15" thickBot="1" x14ac:dyDescent="0.35">
      <c r="A551" s="36" t="s">
        <v>1696</v>
      </c>
      <c r="B551" s="36" t="s">
        <v>1260</v>
      </c>
      <c r="C551" s="37">
        <v>29</v>
      </c>
    </row>
    <row r="552" spans="1:3" ht="15" thickBot="1" x14ac:dyDescent="0.35">
      <c r="A552" s="36"/>
      <c r="B552" s="36" t="s">
        <v>1960</v>
      </c>
      <c r="C552" s="37">
        <v>29</v>
      </c>
    </row>
    <row r="553" spans="1:3" ht="15" thickBot="1" x14ac:dyDescent="0.35">
      <c r="A553" s="36" t="s">
        <v>1710</v>
      </c>
      <c r="B553" s="36" t="s">
        <v>1277</v>
      </c>
      <c r="C553" s="37">
        <v>29</v>
      </c>
    </row>
    <row r="554" spans="1:3" ht="15" thickBot="1" x14ac:dyDescent="0.35">
      <c r="A554" s="36" t="s">
        <v>1691</v>
      </c>
      <c r="B554" s="36" t="s">
        <v>1255</v>
      </c>
      <c r="C554" s="37">
        <v>29</v>
      </c>
    </row>
    <row r="555" spans="1:3" ht="15" thickBot="1" x14ac:dyDescent="0.35">
      <c r="A555" s="36" t="s">
        <v>1715</v>
      </c>
      <c r="B555" s="36" t="s">
        <v>1283</v>
      </c>
      <c r="C555" s="37">
        <v>28</v>
      </c>
    </row>
    <row r="556" spans="1:3" ht="15" thickBot="1" x14ac:dyDescent="0.35">
      <c r="A556" s="36"/>
      <c r="B556" s="36" t="s">
        <v>1983</v>
      </c>
      <c r="C556" s="37">
        <v>28</v>
      </c>
    </row>
    <row r="557" spans="1:3" ht="27.6" thickBot="1" x14ac:dyDescent="0.35">
      <c r="A557" s="36" t="s">
        <v>1733</v>
      </c>
      <c r="B557" s="36" t="s">
        <v>1303</v>
      </c>
      <c r="C557" s="37">
        <v>28</v>
      </c>
    </row>
    <row r="558" spans="1:3" ht="15" thickBot="1" x14ac:dyDescent="0.35">
      <c r="A558" s="36" t="s">
        <v>1742</v>
      </c>
      <c r="B558" s="36" t="s">
        <v>1312</v>
      </c>
      <c r="C558" s="37">
        <v>28</v>
      </c>
    </row>
    <row r="559" spans="1:3" ht="15" thickBot="1" x14ac:dyDescent="0.35">
      <c r="A559" s="36" t="s">
        <v>2239</v>
      </c>
      <c r="B559" s="36" t="s">
        <v>2596</v>
      </c>
      <c r="C559" s="37">
        <v>27</v>
      </c>
    </row>
    <row r="560" spans="1:3" ht="15" thickBot="1" x14ac:dyDescent="0.35">
      <c r="A560" s="36" t="s">
        <v>1675</v>
      </c>
      <c r="B560" s="36" t="s">
        <v>1236</v>
      </c>
      <c r="C560" s="37">
        <v>27</v>
      </c>
    </row>
    <row r="561" spans="1:3" ht="15" thickBot="1" x14ac:dyDescent="0.35">
      <c r="A561" s="36"/>
      <c r="B561" s="36" t="s">
        <v>1967</v>
      </c>
      <c r="C561" s="37">
        <v>27</v>
      </c>
    </row>
    <row r="562" spans="1:3" ht="15" thickBot="1" x14ac:dyDescent="0.35">
      <c r="A562" s="36" t="s">
        <v>1941</v>
      </c>
      <c r="B562" s="36" t="s">
        <v>1532</v>
      </c>
      <c r="C562" s="37">
        <v>27</v>
      </c>
    </row>
    <row r="563" spans="1:3" ht="27.6" thickBot="1" x14ac:dyDescent="0.35">
      <c r="A563" s="36" t="s">
        <v>1743</v>
      </c>
      <c r="B563" s="36" t="s">
        <v>1313</v>
      </c>
      <c r="C563" s="37">
        <v>27</v>
      </c>
    </row>
    <row r="564" spans="1:3" ht="15" thickBot="1" x14ac:dyDescent="0.35">
      <c r="A564" s="36" t="s">
        <v>1724</v>
      </c>
      <c r="B564" s="36" t="s">
        <v>1293</v>
      </c>
      <c r="C564" s="37">
        <v>27</v>
      </c>
    </row>
    <row r="565" spans="1:3" ht="15" thickBot="1" x14ac:dyDescent="0.35">
      <c r="A565" s="36" t="s">
        <v>1740</v>
      </c>
      <c r="B565" s="36" t="s">
        <v>1310</v>
      </c>
      <c r="C565" s="37">
        <v>27</v>
      </c>
    </row>
    <row r="566" spans="1:3" ht="15" thickBot="1" x14ac:dyDescent="0.35">
      <c r="A566" s="36" t="s">
        <v>1672</v>
      </c>
      <c r="B566" s="36" t="s">
        <v>1233</v>
      </c>
      <c r="C566" s="37">
        <v>27</v>
      </c>
    </row>
    <row r="567" spans="1:3" ht="15" thickBot="1" x14ac:dyDescent="0.35">
      <c r="A567" s="36" t="s">
        <v>672</v>
      </c>
      <c r="B567" s="36" t="s">
        <v>2597</v>
      </c>
      <c r="C567" s="37">
        <v>26</v>
      </c>
    </row>
    <row r="568" spans="1:3" ht="15" thickBot="1" x14ac:dyDescent="0.35">
      <c r="A568" s="36"/>
      <c r="B568" s="36" t="s">
        <v>2026</v>
      </c>
      <c r="C568" s="37">
        <v>26</v>
      </c>
    </row>
    <row r="569" spans="1:3" ht="15" thickBot="1" x14ac:dyDescent="0.35">
      <c r="A569" s="36" t="s">
        <v>2598</v>
      </c>
      <c r="B569" s="36" t="s">
        <v>2599</v>
      </c>
      <c r="C569" s="37">
        <v>26</v>
      </c>
    </row>
    <row r="570" spans="1:3" ht="15" thickBot="1" x14ac:dyDescent="0.35">
      <c r="A570" s="36" t="s">
        <v>1745</v>
      </c>
      <c r="B570" s="36" t="s">
        <v>1315</v>
      </c>
      <c r="C570" s="37">
        <v>26</v>
      </c>
    </row>
    <row r="571" spans="1:3" ht="15" thickBot="1" x14ac:dyDescent="0.35">
      <c r="A571" s="36" t="s">
        <v>1752</v>
      </c>
      <c r="B571" s="36" t="s">
        <v>1322</v>
      </c>
      <c r="C571" s="37">
        <v>26</v>
      </c>
    </row>
    <row r="572" spans="1:3" ht="15" thickBot="1" x14ac:dyDescent="0.35">
      <c r="A572" s="36" t="s">
        <v>1702</v>
      </c>
      <c r="B572" s="36" t="s">
        <v>1268</v>
      </c>
      <c r="C572" s="37">
        <v>26</v>
      </c>
    </row>
    <row r="573" spans="1:3" ht="27.6" thickBot="1" x14ac:dyDescent="0.35">
      <c r="A573" s="36" t="s">
        <v>1750</v>
      </c>
      <c r="B573" s="36" t="s">
        <v>1320</v>
      </c>
      <c r="C573" s="37">
        <v>25</v>
      </c>
    </row>
    <row r="574" spans="1:3" ht="15" thickBot="1" x14ac:dyDescent="0.35">
      <c r="A574" s="36"/>
      <c r="B574" s="36" t="s">
        <v>1969</v>
      </c>
      <c r="C574" s="37">
        <v>25</v>
      </c>
    </row>
    <row r="575" spans="1:3" ht="15" thickBot="1" x14ac:dyDescent="0.35">
      <c r="A575" s="36" t="s">
        <v>1739</v>
      </c>
      <c r="B575" s="36" t="s">
        <v>1309</v>
      </c>
      <c r="C575" s="37">
        <v>25</v>
      </c>
    </row>
    <row r="576" spans="1:3" ht="15" thickBot="1" x14ac:dyDescent="0.35">
      <c r="A576" s="36" t="s">
        <v>2600</v>
      </c>
      <c r="B576" s="36" t="s">
        <v>2601</v>
      </c>
      <c r="C576" s="37">
        <v>25</v>
      </c>
    </row>
    <row r="577" spans="1:3" ht="15" thickBot="1" x14ac:dyDescent="0.35">
      <c r="A577" s="36"/>
      <c r="B577" s="36" t="s">
        <v>2050</v>
      </c>
      <c r="C577" s="37">
        <v>25</v>
      </c>
    </row>
    <row r="578" spans="1:3" ht="15" thickBot="1" x14ac:dyDescent="0.35">
      <c r="A578" s="36" t="s">
        <v>1720</v>
      </c>
      <c r="B578" s="36" t="s">
        <v>1288</v>
      </c>
      <c r="C578" s="37">
        <v>25</v>
      </c>
    </row>
    <row r="579" spans="1:3" ht="15" thickBot="1" x14ac:dyDescent="0.35">
      <c r="A579" s="36" t="s">
        <v>768</v>
      </c>
      <c r="B579" s="36" t="s">
        <v>1344</v>
      </c>
      <c r="C579" s="37">
        <v>24</v>
      </c>
    </row>
    <row r="580" spans="1:3" ht="27.6" thickBot="1" x14ac:dyDescent="0.35">
      <c r="A580" s="36" t="s">
        <v>1756</v>
      </c>
      <c r="B580" s="36" t="s">
        <v>1327</v>
      </c>
      <c r="C580" s="37">
        <v>24</v>
      </c>
    </row>
    <row r="581" spans="1:3" ht="27.6" thickBot="1" x14ac:dyDescent="0.35">
      <c r="A581" s="36" t="s">
        <v>1757</v>
      </c>
      <c r="B581" s="36" t="s">
        <v>1328</v>
      </c>
      <c r="C581" s="37">
        <v>24</v>
      </c>
    </row>
    <row r="582" spans="1:3" ht="15" thickBot="1" x14ac:dyDescent="0.35">
      <c r="A582" s="36" t="s">
        <v>1751</v>
      </c>
      <c r="B582" s="36" t="s">
        <v>1321</v>
      </c>
      <c r="C582" s="37">
        <v>24</v>
      </c>
    </row>
    <row r="583" spans="1:3" ht="15" thickBot="1" x14ac:dyDescent="0.35">
      <c r="A583" s="36" t="s">
        <v>1705</v>
      </c>
      <c r="B583" s="36" t="s">
        <v>1271</v>
      </c>
      <c r="C583" s="37">
        <v>24</v>
      </c>
    </row>
    <row r="584" spans="1:3" ht="15" thickBot="1" x14ac:dyDescent="0.35">
      <c r="A584" s="36" t="s">
        <v>1737</v>
      </c>
      <c r="B584" s="36" t="s">
        <v>1307</v>
      </c>
      <c r="C584" s="37">
        <v>24</v>
      </c>
    </row>
    <row r="585" spans="1:3" ht="15" thickBot="1" x14ac:dyDescent="0.35">
      <c r="A585" s="36" t="s">
        <v>1760</v>
      </c>
      <c r="B585" s="36" t="s">
        <v>1332</v>
      </c>
      <c r="C585" s="37">
        <v>23</v>
      </c>
    </row>
    <row r="586" spans="1:3" ht="15" thickBot="1" x14ac:dyDescent="0.35">
      <c r="A586" s="36" t="s">
        <v>2106</v>
      </c>
      <c r="B586" s="36" t="s">
        <v>2602</v>
      </c>
      <c r="C586" s="37">
        <v>23</v>
      </c>
    </row>
    <row r="587" spans="1:3" ht="27.6" thickBot="1" x14ac:dyDescent="0.35">
      <c r="A587" s="36" t="s">
        <v>546</v>
      </c>
      <c r="B587" s="36" t="s">
        <v>1318</v>
      </c>
      <c r="C587" s="37">
        <v>23</v>
      </c>
    </row>
    <row r="588" spans="1:3" ht="15" thickBot="1" x14ac:dyDescent="0.35">
      <c r="A588" s="36" t="s">
        <v>1843</v>
      </c>
      <c r="B588" s="36" t="s">
        <v>1419</v>
      </c>
      <c r="C588" s="37">
        <v>23</v>
      </c>
    </row>
    <row r="589" spans="1:3" ht="15" thickBot="1" x14ac:dyDescent="0.35">
      <c r="A589" s="36" t="s">
        <v>1736</v>
      </c>
      <c r="B589" s="36" t="s">
        <v>1306</v>
      </c>
      <c r="C589" s="37">
        <v>23</v>
      </c>
    </row>
    <row r="590" spans="1:3" ht="15" thickBot="1" x14ac:dyDescent="0.35">
      <c r="A590" s="36" t="s">
        <v>1667</v>
      </c>
      <c r="B590" s="36" t="s">
        <v>1226</v>
      </c>
      <c r="C590" s="37">
        <v>23</v>
      </c>
    </row>
    <row r="591" spans="1:3" ht="15" thickBot="1" x14ac:dyDescent="0.35">
      <c r="A591" s="36" t="s">
        <v>1707</v>
      </c>
      <c r="B591" s="36" t="s">
        <v>1273</v>
      </c>
      <c r="C591" s="37">
        <v>23</v>
      </c>
    </row>
    <row r="592" spans="1:3" ht="15" thickBot="1" x14ac:dyDescent="0.35">
      <c r="A592" s="36" t="s">
        <v>1704</v>
      </c>
      <c r="B592" s="36" t="s">
        <v>1270</v>
      </c>
      <c r="C592" s="37">
        <v>23</v>
      </c>
    </row>
    <row r="593" spans="1:3" ht="15" thickBot="1" x14ac:dyDescent="0.35">
      <c r="A593" s="36" t="s">
        <v>1716</v>
      </c>
      <c r="B593" s="36" t="s">
        <v>1284</v>
      </c>
      <c r="C593" s="37">
        <v>23</v>
      </c>
    </row>
    <row r="594" spans="1:3" ht="15" thickBot="1" x14ac:dyDescent="0.35">
      <c r="A594" s="36" t="s">
        <v>1749</v>
      </c>
      <c r="B594" s="36" t="s">
        <v>1319</v>
      </c>
      <c r="C594" s="37">
        <v>23</v>
      </c>
    </row>
    <row r="595" spans="1:3" ht="15" thickBot="1" x14ac:dyDescent="0.35">
      <c r="A595" s="36" t="s">
        <v>2410</v>
      </c>
      <c r="B595" s="36" t="s">
        <v>2411</v>
      </c>
      <c r="C595" s="37">
        <v>23</v>
      </c>
    </row>
    <row r="596" spans="1:3" ht="15" thickBot="1" x14ac:dyDescent="0.35">
      <c r="A596" s="36" t="s">
        <v>548</v>
      </c>
      <c r="B596" s="36" t="s">
        <v>1437</v>
      </c>
      <c r="C596" s="37">
        <v>22</v>
      </c>
    </row>
    <row r="597" spans="1:3" ht="15" thickBot="1" x14ac:dyDescent="0.35">
      <c r="A597" s="36" t="s">
        <v>1725</v>
      </c>
      <c r="B597" s="36" t="s">
        <v>1294</v>
      </c>
      <c r="C597" s="37">
        <v>22</v>
      </c>
    </row>
    <row r="598" spans="1:3" ht="15" thickBot="1" x14ac:dyDescent="0.35">
      <c r="A598" s="36" t="s">
        <v>1706</v>
      </c>
      <c r="B598" s="36" t="s">
        <v>1272</v>
      </c>
      <c r="C598" s="37">
        <v>22</v>
      </c>
    </row>
    <row r="599" spans="1:3" ht="15" thickBot="1" x14ac:dyDescent="0.35">
      <c r="A599" s="36" t="s">
        <v>1744</v>
      </c>
      <c r="B599" s="36" t="s">
        <v>1314</v>
      </c>
      <c r="C599" s="37">
        <v>22</v>
      </c>
    </row>
    <row r="600" spans="1:3" ht="15" thickBot="1" x14ac:dyDescent="0.35">
      <c r="A600" s="36" t="s">
        <v>1741</v>
      </c>
      <c r="B600" s="36" t="s">
        <v>1311</v>
      </c>
      <c r="C600" s="37">
        <v>22</v>
      </c>
    </row>
    <row r="601" spans="1:3" ht="15" thickBot="1" x14ac:dyDescent="0.35">
      <c r="A601" s="36"/>
      <c r="B601" s="36" t="s">
        <v>1963</v>
      </c>
      <c r="C601" s="37">
        <v>21</v>
      </c>
    </row>
    <row r="602" spans="1:3" ht="15" thickBot="1" x14ac:dyDescent="0.35">
      <c r="A602" s="36" t="s">
        <v>1719</v>
      </c>
      <c r="B602" s="36" t="s">
        <v>1287</v>
      </c>
      <c r="C602" s="37">
        <v>21</v>
      </c>
    </row>
    <row r="603" spans="1:3" ht="15" thickBot="1" x14ac:dyDescent="0.35">
      <c r="A603" s="36" t="s">
        <v>1758</v>
      </c>
      <c r="B603" s="36" t="s">
        <v>1329</v>
      </c>
      <c r="C603" s="37">
        <v>21</v>
      </c>
    </row>
    <row r="604" spans="1:3" ht="15" thickBot="1" x14ac:dyDescent="0.35">
      <c r="A604" s="36" t="s">
        <v>1773</v>
      </c>
      <c r="B604" s="36" t="s">
        <v>1346</v>
      </c>
      <c r="C604" s="37">
        <v>21</v>
      </c>
    </row>
    <row r="605" spans="1:3" ht="15" thickBot="1" x14ac:dyDescent="0.35">
      <c r="A605" s="37" t="s">
        <v>1680</v>
      </c>
      <c r="B605" s="36" t="s">
        <v>1241</v>
      </c>
      <c r="C605" s="37">
        <v>21</v>
      </c>
    </row>
    <row r="606" spans="1:3" ht="27.6" thickBot="1" x14ac:dyDescent="0.35">
      <c r="A606" s="36" t="s">
        <v>1774</v>
      </c>
      <c r="B606" s="36" t="s">
        <v>1347</v>
      </c>
      <c r="C606" s="37">
        <v>21</v>
      </c>
    </row>
    <row r="607" spans="1:3" ht="15" thickBot="1" x14ac:dyDescent="0.35">
      <c r="A607" s="36" t="s">
        <v>1766</v>
      </c>
      <c r="B607" s="36" t="s">
        <v>1338</v>
      </c>
      <c r="C607" s="37">
        <v>21</v>
      </c>
    </row>
    <row r="608" spans="1:3" ht="15" thickBot="1" x14ac:dyDescent="0.35">
      <c r="A608" s="36"/>
      <c r="B608" s="36" t="s">
        <v>1959</v>
      </c>
      <c r="C608" s="37">
        <v>21</v>
      </c>
    </row>
    <row r="609" spans="1:3" ht="15" thickBot="1" x14ac:dyDescent="0.35">
      <c r="A609" s="36" t="s">
        <v>1768</v>
      </c>
      <c r="B609" s="36" t="s">
        <v>1340</v>
      </c>
      <c r="C609" s="37">
        <v>21</v>
      </c>
    </row>
    <row r="610" spans="1:3" ht="15" thickBot="1" x14ac:dyDescent="0.35">
      <c r="A610" s="36" t="s">
        <v>1764</v>
      </c>
      <c r="B610" s="36" t="s">
        <v>1336</v>
      </c>
      <c r="C610" s="37">
        <v>21</v>
      </c>
    </row>
    <row r="611" spans="1:3" ht="15" thickBot="1" x14ac:dyDescent="0.35">
      <c r="A611" s="36" t="s">
        <v>1767</v>
      </c>
      <c r="B611" s="36" t="s">
        <v>1339</v>
      </c>
      <c r="C611" s="37">
        <v>20</v>
      </c>
    </row>
    <row r="612" spans="1:3" ht="15" thickBot="1" x14ac:dyDescent="0.35">
      <c r="A612" s="36"/>
      <c r="B612" s="36" t="s">
        <v>2603</v>
      </c>
      <c r="C612" s="37">
        <v>20</v>
      </c>
    </row>
    <row r="613" spans="1:3" ht="15" thickBot="1" x14ac:dyDescent="0.35">
      <c r="A613" s="36" t="s">
        <v>362</v>
      </c>
      <c r="B613" s="36" t="s">
        <v>1050</v>
      </c>
      <c r="C613" s="37">
        <v>20</v>
      </c>
    </row>
    <row r="614" spans="1:3" ht="15" thickBot="1" x14ac:dyDescent="0.35">
      <c r="A614" s="36" t="s">
        <v>1769</v>
      </c>
      <c r="B614" s="36" t="s">
        <v>1341</v>
      </c>
      <c r="C614" s="37">
        <v>20</v>
      </c>
    </row>
    <row r="615" spans="1:3" ht="15" thickBot="1" x14ac:dyDescent="0.35">
      <c r="A615" s="36"/>
      <c r="B615" s="36" t="s">
        <v>1981</v>
      </c>
      <c r="C615" s="37">
        <v>20</v>
      </c>
    </row>
    <row r="616" spans="1:3" ht="15" thickBot="1" x14ac:dyDescent="0.35">
      <c r="A616" s="36" t="s">
        <v>1770</v>
      </c>
      <c r="B616" s="36" t="s">
        <v>1342</v>
      </c>
      <c r="C616" s="37">
        <v>19</v>
      </c>
    </row>
    <row r="617" spans="1:3" ht="15" thickBot="1" x14ac:dyDescent="0.35">
      <c r="A617" s="36" t="s">
        <v>1762</v>
      </c>
      <c r="B617" s="36" t="s">
        <v>1334</v>
      </c>
      <c r="C617" s="37">
        <v>19</v>
      </c>
    </row>
    <row r="618" spans="1:3" ht="15" thickBot="1" x14ac:dyDescent="0.35">
      <c r="A618" s="36" t="s">
        <v>1717</v>
      </c>
      <c r="B618" s="36" t="s">
        <v>1285</v>
      </c>
      <c r="C618" s="37">
        <v>19</v>
      </c>
    </row>
    <row r="619" spans="1:3" ht="15" thickBot="1" x14ac:dyDescent="0.35">
      <c r="A619" s="36"/>
      <c r="B619" s="36" t="s">
        <v>1970</v>
      </c>
      <c r="C619" s="37">
        <v>19</v>
      </c>
    </row>
    <row r="620" spans="1:3" ht="15" thickBot="1" x14ac:dyDescent="0.35">
      <c r="A620" s="36"/>
      <c r="B620" s="36" t="s">
        <v>2082</v>
      </c>
      <c r="C620" s="37">
        <v>19</v>
      </c>
    </row>
    <row r="621" spans="1:3" ht="15" thickBot="1" x14ac:dyDescent="0.35">
      <c r="A621" s="36" t="s">
        <v>680</v>
      </c>
      <c r="B621" s="36" t="s">
        <v>1216</v>
      </c>
      <c r="C621" s="37">
        <v>18</v>
      </c>
    </row>
    <row r="622" spans="1:3" ht="27.6" thickBot="1" x14ac:dyDescent="0.35">
      <c r="A622" s="36" t="s">
        <v>1786</v>
      </c>
      <c r="B622" s="36" t="s">
        <v>1360</v>
      </c>
      <c r="C622" s="37">
        <v>18</v>
      </c>
    </row>
    <row r="623" spans="1:3" ht="15" thickBot="1" x14ac:dyDescent="0.35">
      <c r="A623" s="36" t="s">
        <v>1734</v>
      </c>
      <c r="B623" s="36" t="s">
        <v>1304</v>
      </c>
      <c r="C623" s="37">
        <v>18</v>
      </c>
    </row>
    <row r="624" spans="1:3" ht="15" thickBot="1" x14ac:dyDescent="0.35">
      <c r="A624" s="36" t="s">
        <v>516</v>
      </c>
      <c r="B624" s="36" t="s">
        <v>1279</v>
      </c>
      <c r="C624" s="37">
        <v>18</v>
      </c>
    </row>
    <row r="625" spans="1:3" ht="15" thickBot="1" x14ac:dyDescent="0.35">
      <c r="A625" s="36"/>
      <c r="B625" s="36" t="s">
        <v>2604</v>
      </c>
      <c r="C625" s="37">
        <v>18</v>
      </c>
    </row>
    <row r="626" spans="1:3" ht="15" thickBot="1" x14ac:dyDescent="0.35">
      <c r="A626" s="36" t="s">
        <v>1747</v>
      </c>
      <c r="B626" s="36" t="s">
        <v>1317</v>
      </c>
      <c r="C626" s="37">
        <v>18</v>
      </c>
    </row>
    <row r="627" spans="1:3" ht="27.6" thickBot="1" x14ac:dyDescent="0.35">
      <c r="A627" s="36" t="s">
        <v>1794</v>
      </c>
      <c r="B627" s="36" t="s">
        <v>1368</v>
      </c>
      <c r="C627" s="37">
        <v>17</v>
      </c>
    </row>
    <row r="628" spans="1:3" ht="15" thickBot="1" x14ac:dyDescent="0.35">
      <c r="A628" s="36" t="s">
        <v>1775</v>
      </c>
      <c r="B628" s="36" t="s">
        <v>1348</v>
      </c>
      <c r="C628" s="37">
        <v>17</v>
      </c>
    </row>
    <row r="629" spans="1:3" ht="15" thickBot="1" x14ac:dyDescent="0.35">
      <c r="A629" s="36" t="s">
        <v>1754</v>
      </c>
      <c r="B629" s="36" t="s">
        <v>1324</v>
      </c>
      <c r="C629" s="37">
        <v>17</v>
      </c>
    </row>
    <row r="630" spans="1:3" ht="15" thickBot="1" x14ac:dyDescent="0.35">
      <c r="A630" s="36" t="s">
        <v>1661</v>
      </c>
      <c r="B630" s="36" t="s">
        <v>1215</v>
      </c>
      <c r="C630" s="37">
        <v>17</v>
      </c>
    </row>
    <row r="631" spans="1:3" ht="15" thickBot="1" x14ac:dyDescent="0.35">
      <c r="A631" s="36"/>
      <c r="B631" s="36" t="s">
        <v>1966</v>
      </c>
      <c r="C631" s="37">
        <v>17</v>
      </c>
    </row>
    <row r="632" spans="1:3" ht="15" thickBot="1" x14ac:dyDescent="0.35">
      <c r="A632" s="36"/>
      <c r="B632" s="36" t="s">
        <v>1968</v>
      </c>
      <c r="C632" s="37">
        <v>17</v>
      </c>
    </row>
    <row r="633" spans="1:3" ht="15" thickBot="1" x14ac:dyDescent="0.35">
      <c r="A633" s="36"/>
      <c r="B633" s="36" t="s">
        <v>1972</v>
      </c>
      <c r="C633" s="37">
        <v>16</v>
      </c>
    </row>
    <row r="634" spans="1:3" ht="15" thickBot="1" x14ac:dyDescent="0.35">
      <c r="A634" s="36"/>
      <c r="B634" s="36" t="s">
        <v>1964</v>
      </c>
      <c r="C634" s="37">
        <v>16</v>
      </c>
    </row>
    <row r="635" spans="1:3" ht="15" thickBot="1" x14ac:dyDescent="0.35">
      <c r="A635" s="36" t="s">
        <v>1755</v>
      </c>
      <c r="B635" s="36" t="s">
        <v>1325</v>
      </c>
      <c r="C635" s="37">
        <v>16</v>
      </c>
    </row>
    <row r="636" spans="1:3" ht="15" thickBot="1" x14ac:dyDescent="0.35">
      <c r="A636" s="36" t="s">
        <v>1679</v>
      </c>
      <c r="B636" s="36" t="s">
        <v>1240</v>
      </c>
      <c r="C636" s="37">
        <v>16</v>
      </c>
    </row>
    <row r="637" spans="1:3" ht="15" thickBot="1" x14ac:dyDescent="0.35">
      <c r="A637" s="36"/>
      <c r="B637" s="36" t="s">
        <v>2043</v>
      </c>
      <c r="C637" s="37">
        <v>16</v>
      </c>
    </row>
    <row r="638" spans="1:3" ht="27.6" thickBot="1" x14ac:dyDescent="0.35">
      <c r="A638" s="36" t="s">
        <v>1796</v>
      </c>
      <c r="B638" s="36" t="s">
        <v>1371</v>
      </c>
      <c r="C638" s="37">
        <v>15</v>
      </c>
    </row>
    <row r="639" spans="1:3" ht="15" thickBot="1" x14ac:dyDescent="0.35">
      <c r="A639" s="36"/>
      <c r="B639" s="36" t="s">
        <v>2605</v>
      </c>
      <c r="C639" s="37">
        <v>15</v>
      </c>
    </row>
    <row r="640" spans="1:3" ht="15" thickBot="1" x14ac:dyDescent="0.35">
      <c r="A640" s="36" t="s">
        <v>2138</v>
      </c>
      <c r="B640" s="36" t="s">
        <v>2139</v>
      </c>
      <c r="C640" s="37">
        <v>15</v>
      </c>
    </row>
    <row r="641" spans="1:3" ht="27.6" thickBot="1" x14ac:dyDescent="0.35">
      <c r="A641" s="36" t="s">
        <v>1806</v>
      </c>
      <c r="B641" s="36" t="s">
        <v>1382</v>
      </c>
      <c r="C641" s="37">
        <v>15</v>
      </c>
    </row>
    <row r="642" spans="1:3" ht="15" thickBot="1" x14ac:dyDescent="0.35">
      <c r="A642" s="36" t="s">
        <v>1791</v>
      </c>
      <c r="B642" s="36" t="s">
        <v>1365</v>
      </c>
      <c r="C642" s="37">
        <v>15</v>
      </c>
    </row>
    <row r="643" spans="1:3" ht="15" thickBot="1" x14ac:dyDescent="0.35">
      <c r="A643" s="36"/>
      <c r="B643" s="36" t="s">
        <v>2606</v>
      </c>
      <c r="C643" s="37">
        <v>15</v>
      </c>
    </row>
    <row r="644" spans="1:3" ht="15" thickBot="1" x14ac:dyDescent="0.35">
      <c r="A644" s="36"/>
      <c r="B644" s="36" t="s">
        <v>1973</v>
      </c>
      <c r="C644" s="37">
        <v>15</v>
      </c>
    </row>
    <row r="645" spans="1:3" ht="15" thickBot="1" x14ac:dyDescent="0.35">
      <c r="A645" s="36" t="s">
        <v>2156</v>
      </c>
      <c r="B645" s="36" t="s">
        <v>2157</v>
      </c>
      <c r="C645" s="37">
        <v>15</v>
      </c>
    </row>
    <row r="646" spans="1:3" ht="27.6" thickBot="1" x14ac:dyDescent="0.35">
      <c r="A646" s="36" t="s">
        <v>1798</v>
      </c>
      <c r="B646" s="36" t="s">
        <v>1373</v>
      </c>
      <c r="C646" s="37">
        <v>15</v>
      </c>
    </row>
    <row r="647" spans="1:3" ht="15" thickBot="1" x14ac:dyDescent="0.35">
      <c r="A647" s="36" t="s">
        <v>1722</v>
      </c>
      <c r="B647" s="36" t="s">
        <v>1290</v>
      </c>
      <c r="C647" s="37">
        <v>15</v>
      </c>
    </row>
    <row r="648" spans="1:3" ht="15" thickBot="1" x14ac:dyDescent="0.35">
      <c r="A648" s="36" t="s">
        <v>1771</v>
      </c>
      <c r="B648" s="36" t="s">
        <v>1343</v>
      </c>
      <c r="C648" s="37">
        <v>15</v>
      </c>
    </row>
    <row r="649" spans="1:3" ht="27.6" thickBot="1" x14ac:dyDescent="0.35">
      <c r="A649" s="36" t="s">
        <v>1799</v>
      </c>
      <c r="B649" s="36" t="s">
        <v>1374</v>
      </c>
      <c r="C649" s="37">
        <v>14</v>
      </c>
    </row>
    <row r="650" spans="1:3" ht="27.6" thickBot="1" x14ac:dyDescent="0.35">
      <c r="A650" s="36" t="s">
        <v>1811</v>
      </c>
      <c r="B650" s="36" t="s">
        <v>1387</v>
      </c>
      <c r="C650" s="37">
        <v>14</v>
      </c>
    </row>
    <row r="651" spans="1:3" ht="27.6" thickBot="1" x14ac:dyDescent="0.35">
      <c r="A651" s="36" t="s">
        <v>1812</v>
      </c>
      <c r="B651" s="36" t="s">
        <v>1388</v>
      </c>
      <c r="C651" s="37">
        <v>14</v>
      </c>
    </row>
    <row r="652" spans="1:3" ht="27.6" thickBot="1" x14ac:dyDescent="0.35">
      <c r="A652" s="36" t="s">
        <v>1808</v>
      </c>
      <c r="B652" s="36" t="s">
        <v>1384</v>
      </c>
      <c r="C652" s="37">
        <v>14</v>
      </c>
    </row>
    <row r="653" spans="1:3" ht="27.6" thickBot="1" x14ac:dyDescent="0.35">
      <c r="A653" s="36" t="s">
        <v>1809</v>
      </c>
      <c r="B653" s="36" t="s">
        <v>1385</v>
      </c>
      <c r="C653" s="37">
        <v>14</v>
      </c>
    </row>
    <row r="654" spans="1:3" ht="15" thickBot="1" x14ac:dyDescent="0.35">
      <c r="A654" s="36" t="s">
        <v>1936</v>
      </c>
      <c r="B654" s="36" t="s">
        <v>1524</v>
      </c>
      <c r="C654" s="37">
        <v>14</v>
      </c>
    </row>
    <row r="655" spans="1:3" ht="15" thickBot="1" x14ac:dyDescent="0.35">
      <c r="A655" s="36"/>
      <c r="B655" s="36" t="s">
        <v>2607</v>
      </c>
      <c r="C655" s="37">
        <v>14</v>
      </c>
    </row>
    <row r="656" spans="1:3" ht="27.6" thickBot="1" x14ac:dyDescent="0.35">
      <c r="A656" s="36" t="s">
        <v>1814</v>
      </c>
      <c r="B656" s="36" t="s">
        <v>1391</v>
      </c>
      <c r="C656" s="37">
        <v>14</v>
      </c>
    </row>
    <row r="657" spans="1:3" ht="15" thickBot="1" x14ac:dyDescent="0.35">
      <c r="A657" s="36" t="s">
        <v>2608</v>
      </c>
      <c r="B657" s="36" t="s">
        <v>2609</v>
      </c>
      <c r="C657" s="37">
        <v>14</v>
      </c>
    </row>
    <row r="658" spans="1:3" ht="15" thickBot="1" x14ac:dyDescent="0.35">
      <c r="A658" s="36" t="s">
        <v>1783</v>
      </c>
      <c r="B658" s="36" t="s">
        <v>1357</v>
      </c>
      <c r="C658" s="37">
        <v>14</v>
      </c>
    </row>
    <row r="659" spans="1:3" ht="15" thickBot="1" x14ac:dyDescent="0.35">
      <c r="A659" s="36"/>
      <c r="B659" s="36" t="s">
        <v>2610</v>
      </c>
      <c r="C659" s="37">
        <v>14</v>
      </c>
    </row>
    <row r="660" spans="1:3" ht="15" thickBot="1" x14ac:dyDescent="0.35">
      <c r="A660" s="36" t="s">
        <v>502</v>
      </c>
      <c r="B660" s="36" t="s">
        <v>1150</v>
      </c>
      <c r="C660" s="37">
        <v>14</v>
      </c>
    </row>
    <row r="661" spans="1:3" ht="15" thickBot="1" x14ac:dyDescent="0.35">
      <c r="A661" s="36" t="s">
        <v>1805</v>
      </c>
      <c r="B661" s="36" t="s">
        <v>1381</v>
      </c>
      <c r="C661" s="37">
        <v>14</v>
      </c>
    </row>
    <row r="662" spans="1:3" ht="15" thickBot="1" x14ac:dyDescent="0.35">
      <c r="A662" s="36" t="s">
        <v>1753</v>
      </c>
      <c r="B662" s="36" t="s">
        <v>1323</v>
      </c>
      <c r="C662" s="37">
        <v>14</v>
      </c>
    </row>
    <row r="663" spans="1:3" ht="15" thickBot="1" x14ac:dyDescent="0.35">
      <c r="A663" s="36" t="s">
        <v>1784</v>
      </c>
      <c r="B663" s="36" t="s">
        <v>1358</v>
      </c>
      <c r="C663" s="37">
        <v>14</v>
      </c>
    </row>
    <row r="664" spans="1:3" ht="15" thickBot="1" x14ac:dyDescent="0.35">
      <c r="A664" s="36" t="s">
        <v>1778</v>
      </c>
      <c r="B664" s="36" t="s">
        <v>1351</v>
      </c>
      <c r="C664" s="37">
        <v>14</v>
      </c>
    </row>
    <row r="665" spans="1:3" ht="27.6" thickBot="1" x14ac:dyDescent="0.35">
      <c r="A665" s="36" t="s">
        <v>1800</v>
      </c>
      <c r="B665" s="36" t="s">
        <v>1375</v>
      </c>
      <c r="C665" s="37">
        <v>13</v>
      </c>
    </row>
    <row r="666" spans="1:3" ht="15" thickBot="1" x14ac:dyDescent="0.35">
      <c r="A666" s="36" t="s">
        <v>1776</v>
      </c>
      <c r="B666" s="36" t="s">
        <v>1349</v>
      </c>
      <c r="C666" s="37">
        <v>13</v>
      </c>
    </row>
    <row r="667" spans="1:3" ht="15" thickBot="1" x14ac:dyDescent="0.35">
      <c r="A667" s="36"/>
      <c r="B667" s="36" t="s">
        <v>2611</v>
      </c>
      <c r="C667" s="37">
        <v>13</v>
      </c>
    </row>
    <row r="668" spans="1:3" ht="15" thickBot="1" x14ac:dyDescent="0.35">
      <c r="A668" s="36" t="s">
        <v>1777</v>
      </c>
      <c r="B668" s="36" t="s">
        <v>1350</v>
      </c>
      <c r="C668" s="37">
        <v>13</v>
      </c>
    </row>
    <row r="669" spans="1:3" ht="15" thickBot="1" x14ac:dyDescent="0.35">
      <c r="A669" s="36"/>
      <c r="B669" s="36" t="s">
        <v>2031</v>
      </c>
      <c r="C669" s="37">
        <v>13</v>
      </c>
    </row>
    <row r="670" spans="1:3" ht="15" thickBot="1" x14ac:dyDescent="0.35">
      <c r="A670" s="36"/>
      <c r="B670" s="36" t="s">
        <v>2612</v>
      </c>
      <c r="C670" s="37">
        <v>13</v>
      </c>
    </row>
    <row r="671" spans="1:3" ht="15" thickBot="1" x14ac:dyDescent="0.35">
      <c r="A671" s="36" t="s">
        <v>1815</v>
      </c>
      <c r="B671" s="36" t="s">
        <v>1393</v>
      </c>
      <c r="C671" s="37">
        <v>13</v>
      </c>
    </row>
    <row r="672" spans="1:3" ht="15" thickBot="1" x14ac:dyDescent="0.35">
      <c r="A672" s="36" t="s">
        <v>1816</v>
      </c>
      <c r="B672" s="36" t="s">
        <v>1394</v>
      </c>
      <c r="C672" s="37">
        <v>13</v>
      </c>
    </row>
    <row r="673" spans="1:3" ht="15" thickBot="1" x14ac:dyDescent="0.35">
      <c r="A673" s="36" t="s">
        <v>1735</v>
      </c>
      <c r="B673" s="36" t="s">
        <v>1305</v>
      </c>
      <c r="C673" s="37">
        <v>13</v>
      </c>
    </row>
    <row r="674" spans="1:3" ht="15" thickBot="1" x14ac:dyDescent="0.35">
      <c r="A674" s="36" t="s">
        <v>1779</v>
      </c>
      <c r="B674" s="36" t="s">
        <v>1352</v>
      </c>
      <c r="C674" s="37">
        <v>13</v>
      </c>
    </row>
    <row r="675" spans="1:3" ht="15" thickBot="1" x14ac:dyDescent="0.35">
      <c r="A675" s="36" t="s">
        <v>1801</v>
      </c>
      <c r="B675" s="36" t="s">
        <v>1376</v>
      </c>
      <c r="C675" s="37">
        <v>12</v>
      </c>
    </row>
    <row r="676" spans="1:3" ht="15" thickBot="1" x14ac:dyDescent="0.35">
      <c r="A676" s="36" t="s">
        <v>1829</v>
      </c>
      <c r="B676" s="36" t="s">
        <v>1407</v>
      </c>
      <c r="C676" s="37">
        <v>12</v>
      </c>
    </row>
    <row r="677" spans="1:3" ht="15" thickBot="1" x14ac:dyDescent="0.35">
      <c r="A677" s="36" t="s">
        <v>1789</v>
      </c>
      <c r="B677" s="36" t="s">
        <v>1363</v>
      </c>
      <c r="C677" s="37">
        <v>11</v>
      </c>
    </row>
    <row r="678" spans="1:3" ht="15" thickBot="1" x14ac:dyDescent="0.35">
      <c r="A678" s="36" t="s">
        <v>1746</v>
      </c>
      <c r="B678" s="36" t="s">
        <v>1316</v>
      </c>
      <c r="C678" s="37">
        <v>11</v>
      </c>
    </row>
    <row r="679" spans="1:3" ht="15" thickBot="1" x14ac:dyDescent="0.35">
      <c r="A679" s="36" t="s">
        <v>2160</v>
      </c>
      <c r="B679" s="36" t="s">
        <v>2161</v>
      </c>
      <c r="C679" s="37">
        <v>11</v>
      </c>
    </row>
    <row r="680" spans="1:3" ht="27.6" thickBot="1" x14ac:dyDescent="0.35">
      <c r="A680" s="36" t="s">
        <v>1818</v>
      </c>
      <c r="B680" s="36" t="s">
        <v>1396</v>
      </c>
      <c r="C680" s="37">
        <v>11</v>
      </c>
    </row>
    <row r="681" spans="1:3" ht="15" thickBot="1" x14ac:dyDescent="0.35">
      <c r="A681" s="36" t="s">
        <v>1820</v>
      </c>
      <c r="B681" s="36" t="s">
        <v>1398</v>
      </c>
      <c r="C681" s="37">
        <v>11</v>
      </c>
    </row>
    <row r="682" spans="1:3" ht="15" thickBot="1" x14ac:dyDescent="0.35">
      <c r="A682" s="36" t="s">
        <v>1731</v>
      </c>
      <c r="B682" s="36" t="s">
        <v>1300</v>
      </c>
      <c r="C682" s="37">
        <v>11</v>
      </c>
    </row>
    <row r="683" spans="1:3" ht="15" thickBot="1" x14ac:dyDescent="0.35">
      <c r="A683" s="36" t="s">
        <v>2613</v>
      </c>
      <c r="B683" s="36" t="s">
        <v>2614</v>
      </c>
      <c r="C683" s="37">
        <v>10</v>
      </c>
    </row>
    <row r="684" spans="1:3" ht="15" thickBot="1" x14ac:dyDescent="0.35">
      <c r="A684" s="36" t="s">
        <v>1788</v>
      </c>
      <c r="B684" s="36" t="s">
        <v>1362</v>
      </c>
      <c r="C684" s="37">
        <v>10</v>
      </c>
    </row>
    <row r="685" spans="1:3" ht="15" thickBot="1" x14ac:dyDescent="0.35">
      <c r="A685" s="36" t="s">
        <v>1819</v>
      </c>
      <c r="B685" s="36" t="s">
        <v>1397</v>
      </c>
      <c r="C685" s="37">
        <v>10</v>
      </c>
    </row>
    <row r="686" spans="1:3" ht="15" thickBot="1" x14ac:dyDescent="0.35">
      <c r="A686" s="36" t="s">
        <v>1821</v>
      </c>
      <c r="B686" s="36" t="s">
        <v>1399</v>
      </c>
      <c r="C686" s="37">
        <v>10</v>
      </c>
    </row>
    <row r="687" spans="1:3" ht="15" thickBot="1" x14ac:dyDescent="0.35">
      <c r="A687" s="36" t="s">
        <v>1740</v>
      </c>
      <c r="B687" s="36" t="s">
        <v>1310</v>
      </c>
      <c r="C687" s="37">
        <v>10</v>
      </c>
    </row>
    <row r="688" spans="1:3" ht="15" thickBot="1" x14ac:dyDescent="0.35">
      <c r="A688" s="36" t="s">
        <v>1797</v>
      </c>
      <c r="B688" s="36" t="s">
        <v>1372</v>
      </c>
      <c r="C688" s="37">
        <v>10</v>
      </c>
    </row>
    <row r="689" spans="1:3" ht="27.6" thickBot="1" x14ac:dyDescent="0.35">
      <c r="A689" s="36" t="s">
        <v>1839</v>
      </c>
      <c r="B689" s="36" t="s">
        <v>1415</v>
      </c>
      <c r="C689" s="37">
        <v>10</v>
      </c>
    </row>
    <row r="690" spans="1:3" ht="15" thickBot="1" x14ac:dyDescent="0.35">
      <c r="A690" s="36"/>
      <c r="B690" s="36" t="s">
        <v>2615</v>
      </c>
      <c r="C690" s="37">
        <v>10</v>
      </c>
    </row>
    <row r="691" spans="1:3" ht="15" thickBot="1" x14ac:dyDescent="0.35">
      <c r="A691" s="36" t="s">
        <v>1939</v>
      </c>
      <c r="B691" s="36" t="s">
        <v>1528</v>
      </c>
      <c r="C691" s="37">
        <v>10</v>
      </c>
    </row>
    <row r="692" spans="1:3" ht="15" thickBot="1" x14ac:dyDescent="0.35">
      <c r="A692" s="36" t="s">
        <v>2158</v>
      </c>
      <c r="B692" s="36" t="s">
        <v>2159</v>
      </c>
      <c r="C692" s="37">
        <v>10</v>
      </c>
    </row>
    <row r="693" spans="1:3" ht="15" thickBot="1" x14ac:dyDescent="0.35">
      <c r="A693" s="36" t="s">
        <v>1824</v>
      </c>
      <c r="B693" s="36" t="s">
        <v>1402</v>
      </c>
      <c r="C693" s="37">
        <v>10</v>
      </c>
    </row>
    <row r="694" spans="1:3" ht="15" thickBot="1" x14ac:dyDescent="0.35">
      <c r="A694" s="36" t="s">
        <v>1826</v>
      </c>
      <c r="B694" s="36" t="s">
        <v>1404</v>
      </c>
      <c r="C694" s="37">
        <v>10</v>
      </c>
    </row>
    <row r="695" spans="1:3" ht="15" thickBot="1" x14ac:dyDescent="0.35">
      <c r="A695" s="36" t="s">
        <v>1842</v>
      </c>
      <c r="B695" s="36" t="s">
        <v>1418</v>
      </c>
      <c r="C695" s="37">
        <v>10</v>
      </c>
    </row>
    <row r="696" spans="1:3" ht="27.6" thickBot="1" x14ac:dyDescent="0.35">
      <c r="A696" s="36" t="s">
        <v>1851</v>
      </c>
      <c r="B696" s="36" t="s">
        <v>1428</v>
      </c>
      <c r="C696" s="37">
        <v>9</v>
      </c>
    </row>
    <row r="697" spans="1:3" ht="15" thickBot="1" x14ac:dyDescent="0.35">
      <c r="A697" s="36" t="s">
        <v>1834</v>
      </c>
      <c r="B697" s="36" t="s">
        <v>2616</v>
      </c>
      <c r="C697" s="37">
        <v>9</v>
      </c>
    </row>
    <row r="698" spans="1:3" ht="27.6" thickBot="1" x14ac:dyDescent="0.35">
      <c r="A698" s="36" t="s">
        <v>1846</v>
      </c>
      <c r="B698" s="36" t="s">
        <v>1422</v>
      </c>
      <c r="C698" s="37">
        <v>9</v>
      </c>
    </row>
    <row r="699" spans="1:3" ht="15" thickBot="1" x14ac:dyDescent="0.35">
      <c r="A699" s="36" t="s">
        <v>2000</v>
      </c>
      <c r="B699" s="36" t="s">
        <v>1551</v>
      </c>
      <c r="C699" s="37">
        <v>9</v>
      </c>
    </row>
    <row r="700" spans="1:3" ht="15" thickBot="1" x14ac:dyDescent="0.35">
      <c r="A700" s="36" t="s">
        <v>1793</v>
      </c>
      <c r="B700" s="36" t="s">
        <v>1367</v>
      </c>
      <c r="C700" s="37">
        <v>9</v>
      </c>
    </row>
    <row r="701" spans="1:3" ht="27.6" thickBot="1" x14ac:dyDescent="0.35">
      <c r="A701" s="36" t="s">
        <v>1825</v>
      </c>
      <c r="B701" s="36" t="s">
        <v>1403</v>
      </c>
      <c r="C701" s="37">
        <v>9</v>
      </c>
    </row>
    <row r="702" spans="1:3" ht="15" thickBot="1" x14ac:dyDescent="0.35">
      <c r="A702" s="36" t="s">
        <v>1795</v>
      </c>
      <c r="B702" s="36" t="s">
        <v>1370</v>
      </c>
      <c r="C702" s="37">
        <v>9</v>
      </c>
    </row>
    <row r="703" spans="1:3" ht="15" thickBot="1" x14ac:dyDescent="0.35">
      <c r="A703" s="36" t="s">
        <v>1899</v>
      </c>
      <c r="B703" s="36" t="s">
        <v>1482</v>
      </c>
      <c r="C703" s="37">
        <v>9</v>
      </c>
    </row>
    <row r="704" spans="1:3" ht="15" thickBot="1" x14ac:dyDescent="0.35">
      <c r="A704" s="36" t="s">
        <v>2001</v>
      </c>
      <c r="B704" s="36" t="s">
        <v>1552</v>
      </c>
      <c r="C704" s="37">
        <v>9</v>
      </c>
    </row>
    <row r="705" spans="1:3" ht="15" thickBot="1" x14ac:dyDescent="0.35">
      <c r="A705" s="36" t="s">
        <v>2002</v>
      </c>
      <c r="B705" s="36" t="s">
        <v>1553</v>
      </c>
      <c r="C705" s="37">
        <v>9</v>
      </c>
    </row>
    <row r="706" spans="1:3" ht="15" thickBot="1" x14ac:dyDescent="0.35">
      <c r="A706" s="36"/>
      <c r="B706" s="36" t="s">
        <v>1971</v>
      </c>
      <c r="C706" s="37">
        <v>9</v>
      </c>
    </row>
    <row r="707" spans="1:3" ht="15" thickBot="1" x14ac:dyDescent="0.35">
      <c r="A707" s="36"/>
      <c r="B707" s="36" t="s">
        <v>1974</v>
      </c>
      <c r="C707" s="37">
        <v>9</v>
      </c>
    </row>
    <row r="708" spans="1:3" ht="15" thickBot="1" x14ac:dyDescent="0.35">
      <c r="A708" s="36" t="s">
        <v>2162</v>
      </c>
      <c r="B708" s="36" t="s">
        <v>2163</v>
      </c>
      <c r="C708" s="37">
        <v>9</v>
      </c>
    </row>
    <row r="709" spans="1:3" ht="15" thickBot="1" x14ac:dyDescent="0.35">
      <c r="A709" s="36" t="s">
        <v>1859</v>
      </c>
      <c r="B709" s="36" t="s">
        <v>1436</v>
      </c>
      <c r="C709" s="37">
        <v>9</v>
      </c>
    </row>
    <row r="710" spans="1:3" ht="15" thickBot="1" x14ac:dyDescent="0.35">
      <c r="A710" s="36" t="s">
        <v>1850</v>
      </c>
      <c r="B710" s="36" t="s">
        <v>1427</v>
      </c>
      <c r="C710" s="37">
        <v>9</v>
      </c>
    </row>
    <row r="711" spans="1:3" ht="27.6" thickBot="1" x14ac:dyDescent="0.35">
      <c r="A711" s="36" t="s">
        <v>1855</v>
      </c>
      <c r="B711" s="36" t="s">
        <v>1432</v>
      </c>
      <c r="C711" s="37">
        <v>9</v>
      </c>
    </row>
    <row r="712" spans="1:3" ht="15" thickBot="1" x14ac:dyDescent="0.35">
      <c r="A712" s="36" t="s">
        <v>1663</v>
      </c>
      <c r="B712" s="36" t="s">
        <v>1218</v>
      </c>
      <c r="C712" s="37">
        <v>9</v>
      </c>
    </row>
    <row r="713" spans="1:3" ht="15" thickBot="1" x14ac:dyDescent="0.35">
      <c r="A713" s="36" t="s">
        <v>1856</v>
      </c>
      <c r="B713" s="36" t="s">
        <v>1433</v>
      </c>
      <c r="C713" s="37">
        <v>9</v>
      </c>
    </row>
    <row r="714" spans="1:3" ht="15" thickBot="1" x14ac:dyDescent="0.35">
      <c r="A714" s="36" t="s">
        <v>1840</v>
      </c>
      <c r="B714" s="36" t="s">
        <v>1416</v>
      </c>
      <c r="C714" s="37">
        <v>9</v>
      </c>
    </row>
    <row r="715" spans="1:3" ht="15" thickBot="1" x14ac:dyDescent="0.35">
      <c r="A715" s="36" t="s">
        <v>1616</v>
      </c>
      <c r="B715" s="36" t="s">
        <v>1149</v>
      </c>
      <c r="C715" s="37">
        <v>9</v>
      </c>
    </row>
    <row r="716" spans="1:3" ht="15" thickBot="1" x14ac:dyDescent="0.35">
      <c r="A716" s="36"/>
      <c r="B716" s="36" t="s">
        <v>1448</v>
      </c>
      <c r="C716" s="37">
        <v>8</v>
      </c>
    </row>
    <row r="717" spans="1:3" ht="15" thickBot="1" x14ac:dyDescent="0.35">
      <c r="A717" s="36" t="s">
        <v>1765</v>
      </c>
      <c r="B717" s="36" t="s">
        <v>1337</v>
      </c>
      <c r="C717" s="37">
        <v>8</v>
      </c>
    </row>
    <row r="718" spans="1:3" ht="15" thickBot="1" x14ac:dyDescent="0.35">
      <c r="A718" s="36" t="s">
        <v>2083</v>
      </c>
      <c r="B718" s="36" t="s">
        <v>2084</v>
      </c>
      <c r="C718" s="37">
        <v>8</v>
      </c>
    </row>
    <row r="719" spans="1:3" ht="15" thickBot="1" x14ac:dyDescent="0.35">
      <c r="A719" s="36" t="s">
        <v>1781</v>
      </c>
      <c r="B719" s="36" t="s">
        <v>1355</v>
      </c>
      <c r="C719" s="37">
        <v>8</v>
      </c>
    </row>
    <row r="720" spans="1:3" ht="15" thickBot="1" x14ac:dyDescent="0.35">
      <c r="A720" s="36" t="s">
        <v>1868</v>
      </c>
      <c r="B720" s="36" t="s">
        <v>1447</v>
      </c>
      <c r="C720" s="37">
        <v>8</v>
      </c>
    </row>
    <row r="721" spans="1:3" ht="15" thickBot="1" x14ac:dyDescent="0.35">
      <c r="A721" s="36" t="s">
        <v>1828</v>
      </c>
      <c r="B721" s="36" t="s">
        <v>1406</v>
      </c>
      <c r="C721" s="37">
        <v>8</v>
      </c>
    </row>
    <row r="722" spans="1:3" ht="15" thickBot="1" x14ac:dyDescent="0.35">
      <c r="A722" s="36" t="s">
        <v>1872</v>
      </c>
      <c r="B722" s="36" t="s">
        <v>1452</v>
      </c>
      <c r="C722" s="37">
        <v>8</v>
      </c>
    </row>
    <row r="723" spans="1:3" ht="27.6" thickBot="1" x14ac:dyDescent="0.35">
      <c r="A723" s="36" t="s">
        <v>1869</v>
      </c>
      <c r="B723" s="36" t="s">
        <v>1449</v>
      </c>
      <c r="C723" s="37">
        <v>8</v>
      </c>
    </row>
    <row r="724" spans="1:3" ht="15" thickBot="1" x14ac:dyDescent="0.35">
      <c r="A724" s="36" t="s">
        <v>1903</v>
      </c>
      <c r="B724" s="36" t="s">
        <v>1487</v>
      </c>
      <c r="C724" s="37">
        <v>8</v>
      </c>
    </row>
    <row r="725" spans="1:3" ht="15" thickBot="1" x14ac:dyDescent="0.35">
      <c r="A725" s="36"/>
      <c r="B725" s="36" t="s">
        <v>2617</v>
      </c>
      <c r="C725" s="37">
        <v>8</v>
      </c>
    </row>
    <row r="726" spans="1:3" ht="15" thickBot="1" x14ac:dyDescent="0.35">
      <c r="A726" s="36" t="s">
        <v>1861</v>
      </c>
      <c r="B726" s="36" t="s">
        <v>1439</v>
      </c>
      <c r="C726" s="37">
        <v>8</v>
      </c>
    </row>
    <row r="727" spans="1:3" ht="15" thickBot="1" x14ac:dyDescent="0.35">
      <c r="A727" s="36" t="s">
        <v>1900</v>
      </c>
      <c r="B727" s="36" t="s">
        <v>1483</v>
      </c>
      <c r="C727" s="37">
        <v>8</v>
      </c>
    </row>
    <row r="728" spans="1:3" ht="15" thickBot="1" x14ac:dyDescent="0.35">
      <c r="A728" s="36" t="s">
        <v>1865</v>
      </c>
      <c r="B728" s="36" t="s">
        <v>1443</v>
      </c>
      <c r="C728" s="37">
        <v>8</v>
      </c>
    </row>
    <row r="729" spans="1:3" ht="40.799999999999997" thickBot="1" x14ac:dyDescent="0.35">
      <c r="A729" s="36" t="s">
        <v>1870</v>
      </c>
      <c r="B729" s="36" t="s">
        <v>1450</v>
      </c>
      <c r="C729" s="37">
        <v>7</v>
      </c>
    </row>
    <row r="730" spans="1:3" ht="15" thickBot="1" x14ac:dyDescent="0.35">
      <c r="A730" s="36" t="s">
        <v>1852</v>
      </c>
      <c r="B730" s="36" t="s">
        <v>1429</v>
      </c>
      <c r="C730" s="37">
        <v>7</v>
      </c>
    </row>
    <row r="731" spans="1:3" ht="15" thickBot="1" x14ac:dyDescent="0.35">
      <c r="A731" s="36" t="s">
        <v>1841</v>
      </c>
      <c r="B731" s="36" t="s">
        <v>1417</v>
      </c>
      <c r="C731" s="37">
        <v>7</v>
      </c>
    </row>
    <row r="732" spans="1:3" ht="27.6" thickBot="1" x14ac:dyDescent="0.35">
      <c r="A732" s="36" t="s">
        <v>1813</v>
      </c>
      <c r="B732" s="36" t="s">
        <v>1390</v>
      </c>
      <c r="C732" s="37">
        <v>7</v>
      </c>
    </row>
    <row r="733" spans="1:3" ht="15" thickBot="1" x14ac:dyDescent="0.35">
      <c r="A733" s="36" t="s">
        <v>1932</v>
      </c>
      <c r="B733" s="36" t="s">
        <v>1519</v>
      </c>
      <c r="C733" s="37">
        <v>7</v>
      </c>
    </row>
    <row r="734" spans="1:3" ht="15" thickBot="1" x14ac:dyDescent="0.35">
      <c r="A734" s="36" t="s">
        <v>1761</v>
      </c>
      <c r="B734" s="36" t="s">
        <v>1333</v>
      </c>
      <c r="C734" s="37">
        <v>7</v>
      </c>
    </row>
    <row r="735" spans="1:3" ht="15" thickBot="1" x14ac:dyDescent="0.35">
      <c r="A735" s="36" t="s">
        <v>1772</v>
      </c>
      <c r="B735" s="36" t="s">
        <v>1345</v>
      </c>
      <c r="C735" s="37">
        <v>7</v>
      </c>
    </row>
    <row r="736" spans="1:3" ht="15" thickBot="1" x14ac:dyDescent="0.35">
      <c r="A736" s="36"/>
      <c r="B736" s="36" t="s">
        <v>1975</v>
      </c>
      <c r="C736" s="37">
        <v>7</v>
      </c>
    </row>
    <row r="737" spans="1:3" ht="15" thickBot="1" x14ac:dyDescent="0.35">
      <c r="A737" s="36"/>
      <c r="B737" s="36" t="s">
        <v>1353</v>
      </c>
      <c r="C737" s="37">
        <v>7</v>
      </c>
    </row>
    <row r="738" spans="1:3" ht="15" thickBot="1" x14ac:dyDescent="0.35">
      <c r="A738" s="36" t="s">
        <v>1876</v>
      </c>
      <c r="B738" s="36" t="s">
        <v>1456</v>
      </c>
      <c r="C738" s="37">
        <v>7</v>
      </c>
    </row>
    <row r="739" spans="1:3" ht="15" thickBot="1" x14ac:dyDescent="0.35">
      <c r="A739" s="36" t="s">
        <v>1837</v>
      </c>
      <c r="B739" s="36" t="s">
        <v>1413</v>
      </c>
      <c r="C739" s="37">
        <v>7</v>
      </c>
    </row>
    <row r="740" spans="1:3" ht="15" thickBot="1" x14ac:dyDescent="0.35">
      <c r="A740" s="36" t="s">
        <v>1998</v>
      </c>
      <c r="B740" s="36" t="s">
        <v>1539</v>
      </c>
      <c r="C740" s="37">
        <v>7</v>
      </c>
    </row>
    <row r="741" spans="1:3" ht="15" thickBot="1" x14ac:dyDescent="0.35">
      <c r="A741" s="36" t="s">
        <v>1878</v>
      </c>
      <c r="B741" s="36" t="s">
        <v>1458</v>
      </c>
      <c r="C741" s="37">
        <v>7</v>
      </c>
    </row>
    <row r="742" spans="1:3" ht="15" thickBot="1" x14ac:dyDescent="0.35">
      <c r="A742" s="36" t="s">
        <v>1906</v>
      </c>
      <c r="B742" s="36" t="s">
        <v>1490</v>
      </c>
      <c r="C742" s="37">
        <v>7</v>
      </c>
    </row>
    <row r="743" spans="1:3" ht="15" thickBot="1" x14ac:dyDescent="0.35">
      <c r="A743" s="36" t="s">
        <v>1882</v>
      </c>
      <c r="B743" s="36" t="s">
        <v>1462</v>
      </c>
      <c r="C743" s="37">
        <v>7</v>
      </c>
    </row>
    <row r="744" spans="1:3" ht="15" thickBot="1" x14ac:dyDescent="0.35">
      <c r="A744" s="36" t="s">
        <v>1883</v>
      </c>
      <c r="B744" s="36" t="s">
        <v>1463</v>
      </c>
      <c r="C744" s="37">
        <v>6</v>
      </c>
    </row>
    <row r="745" spans="1:3" ht="15" thickBot="1" x14ac:dyDescent="0.35">
      <c r="A745" s="36" t="s">
        <v>1780</v>
      </c>
      <c r="B745" s="36" t="s">
        <v>1354</v>
      </c>
      <c r="C745" s="37">
        <v>6</v>
      </c>
    </row>
    <row r="746" spans="1:3" ht="15" thickBot="1" x14ac:dyDescent="0.35">
      <c r="A746" s="36" t="s">
        <v>1881</v>
      </c>
      <c r="B746" s="36" t="s">
        <v>1461</v>
      </c>
      <c r="C746" s="37">
        <v>6</v>
      </c>
    </row>
    <row r="747" spans="1:3" ht="15" thickBot="1" x14ac:dyDescent="0.35">
      <c r="A747" s="36"/>
      <c r="B747" s="36" t="s">
        <v>1464</v>
      </c>
      <c r="C747" s="37">
        <v>6</v>
      </c>
    </row>
    <row r="748" spans="1:3" ht="15" thickBot="1" x14ac:dyDescent="0.35">
      <c r="A748" s="36" t="s">
        <v>1853</v>
      </c>
      <c r="B748" s="36" t="s">
        <v>1430</v>
      </c>
      <c r="C748" s="37">
        <v>6</v>
      </c>
    </row>
    <row r="749" spans="1:3" ht="15" thickBot="1" x14ac:dyDescent="0.35">
      <c r="A749" s="36" t="s">
        <v>1871</v>
      </c>
      <c r="B749" s="36" t="s">
        <v>1451</v>
      </c>
      <c r="C749" s="37">
        <v>6</v>
      </c>
    </row>
    <row r="750" spans="1:3" ht="15" thickBot="1" x14ac:dyDescent="0.35">
      <c r="A750" s="36" t="s">
        <v>1857</v>
      </c>
      <c r="B750" s="36" t="s">
        <v>1434</v>
      </c>
      <c r="C750" s="37">
        <v>6</v>
      </c>
    </row>
    <row r="751" spans="1:3" ht="15" thickBot="1" x14ac:dyDescent="0.35">
      <c r="A751" s="36" t="s">
        <v>1858</v>
      </c>
      <c r="B751" s="36" t="s">
        <v>1435</v>
      </c>
      <c r="C751" s="37">
        <v>6</v>
      </c>
    </row>
    <row r="752" spans="1:3" ht="15" thickBot="1" x14ac:dyDescent="0.35">
      <c r="A752" s="36" t="s">
        <v>1727</v>
      </c>
      <c r="B752" s="36" t="s">
        <v>1296</v>
      </c>
      <c r="C752" s="37">
        <v>6</v>
      </c>
    </row>
    <row r="753" spans="1:3" ht="15" thickBot="1" x14ac:dyDescent="0.35">
      <c r="A753" s="36" t="s">
        <v>1875</v>
      </c>
      <c r="B753" s="36" t="s">
        <v>1455</v>
      </c>
      <c r="C753" s="37">
        <v>6</v>
      </c>
    </row>
    <row r="754" spans="1:3" ht="15" thickBot="1" x14ac:dyDescent="0.35">
      <c r="A754" s="36" t="s">
        <v>1835</v>
      </c>
      <c r="B754" s="36" t="s">
        <v>1411</v>
      </c>
      <c r="C754" s="37">
        <v>5</v>
      </c>
    </row>
    <row r="755" spans="1:3" ht="27.6" thickBot="1" x14ac:dyDescent="0.35">
      <c r="A755" s="36" t="s">
        <v>1897</v>
      </c>
      <c r="B755" s="36" t="s">
        <v>1480</v>
      </c>
      <c r="C755" s="37">
        <v>5</v>
      </c>
    </row>
    <row r="756" spans="1:3" ht="27.6" thickBot="1" x14ac:dyDescent="0.35">
      <c r="A756" s="36" t="s">
        <v>1893</v>
      </c>
      <c r="B756" s="36" t="s">
        <v>1474</v>
      </c>
      <c r="C756" s="37">
        <v>5</v>
      </c>
    </row>
    <row r="757" spans="1:3" ht="15" thickBot="1" x14ac:dyDescent="0.35">
      <c r="A757" s="36" t="s">
        <v>1884</v>
      </c>
      <c r="B757" s="36" t="s">
        <v>1465</v>
      </c>
      <c r="C757" s="37">
        <v>5</v>
      </c>
    </row>
    <row r="758" spans="1:3" ht="15" thickBot="1" x14ac:dyDescent="0.35">
      <c r="A758" s="36" t="s">
        <v>1890</v>
      </c>
      <c r="B758" s="36" t="s">
        <v>1471</v>
      </c>
      <c r="C758" s="37">
        <v>5</v>
      </c>
    </row>
    <row r="759" spans="1:3" ht="15" thickBot="1" x14ac:dyDescent="0.35">
      <c r="A759" s="36" t="s">
        <v>1836</v>
      </c>
      <c r="B759" s="36" t="s">
        <v>1412</v>
      </c>
      <c r="C759" s="37">
        <v>5</v>
      </c>
    </row>
    <row r="760" spans="1:3" ht="15" thickBot="1" x14ac:dyDescent="0.35">
      <c r="A760" s="36" t="s">
        <v>1885</v>
      </c>
      <c r="B760" s="36" t="s">
        <v>1466</v>
      </c>
      <c r="C760" s="37">
        <v>5</v>
      </c>
    </row>
    <row r="761" spans="1:3" ht="15" thickBot="1" x14ac:dyDescent="0.35">
      <c r="A761" s="36" t="s">
        <v>1810</v>
      </c>
      <c r="B761" s="36" t="s">
        <v>1386</v>
      </c>
      <c r="C761" s="37">
        <v>5</v>
      </c>
    </row>
    <row r="762" spans="1:3" ht="15" thickBot="1" x14ac:dyDescent="0.35">
      <c r="A762" s="36" t="s">
        <v>1887</v>
      </c>
      <c r="B762" s="36" t="s">
        <v>1468</v>
      </c>
      <c r="C762" s="37">
        <v>5</v>
      </c>
    </row>
    <row r="763" spans="1:3" ht="15" thickBot="1" x14ac:dyDescent="0.35">
      <c r="A763" s="36" t="s">
        <v>1894</v>
      </c>
      <c r="B763" s="36" t="s">
        <v>1475</v>
      </c>
      <c r="C763" s="37">
        <v>5</v>
      </c>
    </row>
    <row r="764" spans="1:3" ht="15" thickBot="1" x14ac:dyDescent="0.35">
      <c r="A764" s="36" t="s">
        <v>1877</v>
      </c>
      <c r="B764" s="36" t="s">
        <v>1457</v>
      </c>
      <c r="C764" s="37">
        <v>5</v>
      </c>
    </row>
    <row r="765" spans="1:3" ht="15" thickBot="1" x14ac:dyDescent="0.35">
      <c r="A765" s="36" t="s">
        <v>1802</v>
      </c>
      <c r="B765" s="36" t="s">
        <v>1377</v>
      </c>
      <c r="C765" s="37">
        <v>5</v>
      </c>
    </row>
    <row r="766" spans="1:3" ht="15" thickBot="1" x14ac:dyDescent="0.35">
      <c r="A766" s="36" t="s">
        <v>1886</v>
      </c>
      <c r="B766" s="36" t="s">
        <v>1467</v>
      </c>
      <c r="C766" s="37">
        <v>5</v>
      </c>
    </row>
    <row r="767" spans="1:3" ht="15" thickBot="1" x14ac:dyDescent="0.35">
      <c r="A767" s="36" t="s">
        <v>1864</v>
      </c>
      <c r="B767" s="36" t="s">
        <v>1442</v>
      </c>
      <c r="C767" s="37">
        <v>5</v>
      </c>
    </row>
    <row r="768" spans="1:3" ht="15" thickBot="1" x14ac:dyDescent="0.35">
      <c r="A768" s="36"/>
      <c r="B768" s="36" t="s">
        <v>2044</v>
      </c>
      <c r="C768" s="37">
        <v>5</v>
      </c>
    </row>
    <row r="769" spans="1:3" ht="15" thickBot="1" x14ac:dyDescent="0.35">
      <c r="A769" s="36" t="s">
        <v>1790</v>
      </c>
      <c r="B769" s="36" t="s">
        <v>1364</v>
      </c>
      <c r="C769" s="37">
        <v>5</v>
      </c>
    </row>
    <row r="770" spans="1:3" ht="15" thickBot="1" x14ac:dyDescent="0.35">
      <c r="A770" s="36" t="s">
        <v>540</v>
      </c>
      <c r="B770" s="36" t="s">
        <v>1232</v>
      </c>
      <c r="C770" s="37">
        <v>5</v>
      </c>
    </row>
    <row r="771" spans="1:3" ht="15" thickBot="1" x14ac:dyDescent="0.35">
      <c r="A771" s="36" t="s">
        <v>1860</v>
      </c>
      <c r="B771" s="36" t="s">
        <v>1438</v>
      </c>
      <c r="C771" s="37">
        <v>5</v>
      </c>
    </row>
    <row r="772" spans="1:3" ht="15" thickBot="1" x14ac:dyDescent="0.35">
      <c r="A772" s="36" t="s">
        <v>1763</v>
      </c>
      <c r="B772" s="36" t="s">
        <v>1335</v>
      </c>
      <c r="C772" s="37">
        <v>5</v>
      </c>
    </row>
    <row r="773" spans="1:3" ht="15" thickBot="1" x14ac:dyDescent="0.35">
      <c r="A773" s="36" t="s">
        <v>1833</v>
      </c>
      <c r="B773" s="36" t="s">
        <v>1410</v>
      </c>
      <c r="C773" s="37">
        <v>5</v>
      </c>
    </row>
    <row r="774" spans="1:3" ht="15" thickBot="1" x14ac:dyDescent="0.35">
      <c r="A774" s="36" t="s">
        <v>2432</v>
      </c>
      <c r="B774" s="36" t="s">
        <v>2433</v>
      </c>
      <c r="C774" s="37">
        <v>5</v>
      </c>
    </row>
    <row r="775" spans="1:3" ht="15" thickBot="1" x14ac:dyDescent="0.35">
      <c r="A775" s="36" t="s">
        <v>1902</v>
      </c>
      <c r="B775" s="36" t="s">
        <v>1486</v>
      </c>
      <c r="C775" s="37">
        <v>4</v>
      </c>
    </row>
    <row r="776" spans="1:3" ht="15" thickBot="1" x14ac:dyDescent="0.35">
      <c r="A776" s="36" t="s">
        <v>1782</v>
      </c>
      <c r="B776" s="36" t="s">
        <v>1356</v>
      </c>
      <c r="C776" s="37">
        <v>4</v>
      </c>
    </row>
    <row r="777" spans="1:3" ht="15" thickBot="1" x14ac:dyDescent="0.35">
      <c r="A777" s="36" t="s">
        <v>1889</v>
      </c>
      <c r="B777" s="36" t="s">
        <v>1470</v>
      </c>
      <c r="C777" s="37">
        <v>4</v>
      </c>
    </row>
    <row r="778" spans="1:3" ht="15" thickBot="1" x14ac:dyDescent="0.35">
      <c r="A778" s="36" t="s">
        <v>2618</v>
      </c>
      <c r="B778" s="36" t="s">
        <v>2619</v>
      </c>
      <c r="C778" s="37">
        <v>4</v>
      </c>
    </row>
    <row r="779" spans="1:3" ht="15" thickBot="1" x14ac:dyDescent="0.35">
      <c r="A779" s="36" t="s">
        <v>1904</v>
      </c>
      <c r="B779" s="36" t="s">
        <v>1488</v>
      </c>
      <c r="C779" s="37">
        <v>4</v>
      </c>
    </row>
    <row r="780" spans="1:3" ht="15" thickBot="1" x14ac:dyDescent="0.35">
      <c r="A780" s="36"/>
      <c r="B780" s="36" t="s">
        <v>1985</v>
      </c>
      <c r="C780" s="37">
        <v>4</v>
      </c>
    </row>
    <row r="781" spans="1:3" ht="15" thickBot="1" x14ac:dyDescent="0.35">
      <c r="A781" s="36" t="s">
        <v>1891</v>
      </c>
      <c r="B781" s="36" t="s">
        <v>1472</v>
      </c>
      <c r="C781" s="37">
        <v>4</v>
      </c>
    </row>
    <row r="782" spans="1:3" ht="15" thickBot="1" x14ac:dyDescent="0.35">
      <c r="A782" s="36" t="s">
        <v>1917</v>
      </c>
      <c r="B782" s="36" t="s">
        <v>1501</v>
      </c>
      <c r="C782" s="37">
        <v>4</v>
      </c>
    </row>
    <row r="783" spans="1:3" ht="15" thickBot="1" x14ac:dyDescent="0.35">
      <c r="A783" s="36" t="s">
        <v>1922</v>
      </c>
      <c r="B783" s="36" t="s">
        <v>1506</v>
      </c>
      <c r="C783" s="37">
        <v>4</v>
      </c>
    </row>
    <row r="784" spans="1:3" ht="15" thickBot="1" x14ac:dyDescent="0.35">
      <c r="A784" s="36" t="s">
        <v>1905</v>
      </c>
      <c r="B784" s="36" t="s">
        <v>1489</v>
      </c>
      <c r="C784" s="37">
        <v>4</v>
      </c>
    </row>
    <row r="785" spans="1:3" ht="15" thickBot="1" x14ac:dyDescent="0.35">
      <c r="A785" s="36" t="s">
        <v>1862</v>
      </c>
      <c r="B785" s="36" t="s">
        <v>1440</v>
      </c>
      <c r="C785" s="37">
        <v>4</v>
      </c>
    </row>
    <row r="786" spans="1:3" ht="27.6" thickBot="1" x14ac:dyDescent="0.35">
      <c r="A786" s="36" t="s">
        <v>1851</v>
      </c>
      <c r="B786" s="36" t="s">
        <v>1479</v>
      </c>
      <c r="C786" s="37">
        <v>4</v>
      </c>
    </row>
    <row r="787" spans="1:3" ht="27.6" thickBot="1" x14ac:dyDescent="0.35">
      <c r="A787" s="36" t="s">
        <v>1916</v>
      </c>
      <c r="B787" s="36" t="s">
        <v>1500</v>
      </c>
      <c r="C787" s="37">
        <v>4</v>
      </c>
    </row>
    <row r="788" spans="1:3" ht="27.6" thickBot="1" x14ac:dyDescent="0.35">
      <c r="A788" s="36" t="s">
        <v>1908</v>
      </c>
      <c r="B788" s="36" t="s">
        <v>1492</v>
      </c>
      <c r="C788" s="37">
        <v>4</v>
      </c>
    </row>
    <row r="789" spans="1:3" ht="27.6" thickBot="1" x14ac:dyDescent="0.35">
      <c r="A789" s="36" t="s">
        <v>568</v>
      </c>
      <c r="B789" s="36" t="s">
        <v>1392</v>
      </c>
      <c r="C789" s="37">
        <v>4</v>
      </c>
    </row>
    <row r="790" spans="1:3" ht="15" thickBot="1" x14ac:dyDescent="0.35">
      <c r="A790" s="36" t="s">
        <v>1866</v>
      </c>
      <c r="B790" s="36" t="s">
        <v>1445</v>
      </c>
      <c r="C790" s="37">
        <v>4</v>
      </c>
    </row>
    <row r="791" spans="1:3" ht="15" thickBot="1" x14ac:dyDescent="0.35">
      <c r="A791" s="36" t="s">
        <v>1803</v>
      </c>
      <c r="B791" s="36" t="s">
        <v>1378</v>
      </c>
      <c r="C791" s="37">
        <v>4</v>
      </c>
    </row>
    <row r="792" spans="1:3" ht="15" thickBot="1" x14ac:dyDescent="0.35">
      <c r="A792" s="36" t="s">
        <v>1728</v>
      </c>
      <c r="B792" s="36" t="s">
        <v>1297</v>
      </c>
      <c r="C792" s="37">
        <v>4</v>
      </c>
    </row>
    <row r="793" spans="1:3" ht="15" thickBot="1" x14ac:dyDescent="0.35">
      <c r="A793" s="36" t="s">
        <v>1901</v>
      </c>
      <c r="B793" s="36" t="s">
        <v>1484</v>
      </c>
      <c r="C793" s="37">
        <v>4</v>
      </c>
    </row>
    <row r="794" spans="1:3" ht="27.6" thickBot="1" x14ac:dyDescent="0.35">
      <c r="A794" s="36" t="s">
        <v>1919</v>
      </c>
      <c r="B794" s="36" t="s">
        <v>1503</v>
      </c>
      <c r="C794" s="37">
        <v>4</v>
      </c>
    </row>
    <row r="795" spans="1:3" ht="15" thickBot="1" x14ac:dyDescent="0.35">
      <c r="A795" s="36" t="s">
        <v>780</v>
      </c>
      <c r="B795" s="36" t="s">
        <v>1485</v>
      </c>
      <c r="C795" s="37">
        <v>4</v>
      </c>
    </row>
    <row r="796" spans="1:3" ht="27.6" thickBot="1" x14ac:dyDescent="0.35">
      <c r="A796" s="36" t="s">
        <v>1874</v>
      </c>
      <c r="B796" s="36" t="s">
        <v>1454</v>
      </c>
      <c r="C796" s="37">
        <v>4</v>
      </c>
    </row>
    <row r="797" spans="1:3" ht="15" thickBot="1" x14ac:dyDescent="0.35">
      <c r="A797" s="36" t="s">
        <v>1831</v>
      </c>
      <c r="B797" s="36" t="s">
        <v>1408</v>
      </c>
      <c r="C797" s="37">
        <v>4</v>
      </c>
    </row>
    <row r="798" spans="1:3" ht="15" thickBot="1" x14ac:dyDescent="0.35">
      <c r="A798" s="36" t="s">
        <v>1907</v>
      </c>
      <c r="B798" s="36" t="s">
        <v>1491</v>
      </c>
      <c r="C798" s="37">
        <v>4</v>
      </c>
    </row>
    <row r="799" spans="1:3" ht="27.6" thickBot="1" x14ac:dyDescent="0.35">
      <c r="A799" s="36" t="s">
        <v>1920</v>
      </c>
      <c r="B799" s="36" t="s">
        <v>1504</v>
      </c>
      <c r="C799" s="37">
        <v>3</v>
      </c>
    </row>
    <row r="800" spans="1:3" ht="15" thickBot="1" x14ac:dyDescent="0.35">
      <c r="A800" s="36" t="s">
        <v>648</v>
      </c>
      <c r="B800" s="36" t="s">
        <v>1183</v>
      </c>
      <c r="C800" s="37">
        <v>3</v>
      </c>
    </row>
    <row r="801" spans="1:3" ht="15" thickBot="1" x14ac:dyDescent="0.35">
      <c r="A801" s="36" t="s">
        <v>1867</v>
      </c>
      <c r="B801" s="36" t="s">
        <v>1446</v>
      </c>
      <c r="C801" s="37">
        <v>3</v>
      </c>
    </row>
    <row r="802" spans="1:3" ht="15" thickBot="1" x14ac:dyDescent="0.35">
      <c r="A802" s="36" t="s">
        <v>1928</v>
      </c>
      <c r="B802" s="36" t="s">
        <v>1514</v>
      </c>
      <c r="C802" s="37">
        <v>3</v>
      </c>
    </row>
    <row r="803" spans="1:3" ht="15" thickBot="1" x14ac:dyDescent="0.35">
      <c r="A803" s="36" t="s">
        <v>2140</v>
      </c>
      <c r="B803" s="36" t="s">
        <v>2141</v>
      </c>
      <c r="C803" s="37">
        <v>3</v>
      </c>
    </row>
    <row r="804" spans="1:3" ht="15" thickBot="1" x14ac:dyDescent="0.35">
      <c r="A804" s="36" t="s">
        <v>1921</v>
      </c>
      <c r="B804" s="36" t="s">
        <v>1505</v>
      </c>
      <c r="C804" s="37">
        <v>3</v>
      </c>
    </row>
    <row r="805" spans="1:3" ht="15" thickBot="1" x14ac:dyDescent="0.35">
      <c r="A805" s="36" t="s">
        <v>1938</v>
      </c>
      <c r="B805" s="36" t="s">
        <v>1526</v>
      </c>
      <c r="C805" s="37">
        <v>3</v>
      </c>
    </row>
    <row r="806" spans="1:3" ht="15" thickBot="1" x14ac:dyDescent="0.35">
      <c r="A806" s="36" t="s">
        <v>1925</v>
      </c>
      <c r="B806" s="36" t="s">
        <v>1510</v>
      </c>
      <c r="C806" s="37">
        <v>3</v>
      </c>
    </row>
    <row r="807" spans="1:3" ht="15" thickBot="1" x14ac:dyDescent="0.35">
      <c r="A807" s="36" t="s">
        <v>2145</v>
      </c>
      <c r="B807" s="36" t="s">
        <v>2146</v>
      </c>
      <c r="C807" s="37">
        <v>3</v>
      </c>
    </row>
    <row r="808" spans="1:3" ht="15" thickBot="1" x14ac:dyDescent="0.35">
      <c r="A808" s="36" t="s">
        <v>2435</v>
      </c>
      <c r="B808" s="36" t="s">
        <v>1529</v>
      </c>
      <c r="C808" s="37">
        <v>3</v>
      </c>
    </row>
    <row r="809" spans="1:3" ht="15" thickBot="1" x14ac:dyDescent="0.35">
      <c r="A809" s="36" t="s">
        <v>1849</v>
      </c>
      <c r="B809" s="36" t="s">
        <v>1426</v>
      </c>
      <c r="C809" s="37">
        <v>3</v>
      </c>
    </row>
    <row r="810" spans="1:3" ht="15" thickBot="1" x14ac:dyDescent="0.35">
      <c r="A810" s="36" t="s">
        <v>1845</v>
      </c>
      <c r="B810" s="36" t="s">
        <v>1421</v>
      </c>
      <c r="C810" s="37">
        <v>3</v>
      </c>
    </row>
    <row r="811" spans="1:3" ht="15" thickBot="1" x14ac:dyDescent="0.35">
      <c r="A811" s="36" t="s">
        <v>1912</v>
      </c>
      <c r="B811" s="36" t="s">
        <v>1496</v>
      </c>
      <c r="C811" s="37">
        <v>3</v>
      </c>
    </row>
    <row r="812" spans="1:3" ht="15" thickBot="1" x14ac:dyDescent="0.35">
      <c r="A812" s="36" t="s">
        <v>1880</v>
      </c>
      <c r="B812" s="36" t="s">
        <v>1460</v>
      </c>
      <c r="C812" s="37">
        <v>3</v>
      </c>
    </row>
    <row r="813" spans="1:3" ht="15" thickBot="1" x14ac:dyDescent="0.35">
      <c r="A813" s="36"/>
      <c r="B813" s="36" t="s">
        <v>1512</v>
      </c>
      <c r="C813" s="37">
        <v>3</v>
      </c>
    </row>
    <row r="814" spans="1:3" ht="15" thickBot="1" x14ac:dyDescent="0.35">
      <c r="A814" s="36"/>
      <c r="B814" s="36" t="s">
        <v>2078</v>
      </c>
      <c r="C814" s="37">
        <v>3</v>
      </c>
    </row>
    <row r="815" spans="1:3" ht="15" thickBot="1" x14ac:dyDescent="0.35">
      <c r="A815" s="36" t="s">
        <v>1909</v>
      </c>
      <c r="B815" s="36" t="s">
        <v>1493</v>
      </c>
      <c r="C815" s="37">
        <v>3</v>
      </c>
    </row>
    <row r="816" spans="1:3" ht="15" thickBot="1" x14ac:dyDescent="0.35">
      <c r="A816" s="36" t="s">
        <v>1937</v>
      </c>
      <c r="B816" s="36" t="s">
        <v>1525</v>
      </c>
      <c r="C816" s="37">
        <v>3</v>
      </c>
    </row>
    <row r="817" spans="1:3" ht="15" thickBot="1" x14ac:dyDescent="0.35">
      <c r="A817" s="36" t="s">
        <v>1910</v>
      </c>
      <c r="B817" s="36" t="s">
        <v>1494</v>
      </c>
      <c r="C817" s="37">
        <v>3</v>
      </c>
    </row>
    <row r="818" spans="1:3" ht="15" thickBot="1" x14ac:dyDescent="0.35">
      <c r="A818" s="36" t="s">
        <v>2045</v>
      </c>
      <c r="B818" s="36" t="s">
        <v>2046</v>
      </c>
      <c r="C818" s="37">
        <v>3</v>
      </c>
    </row>
    <row r="819" spans="1:3" ht="15" thickBot="1" x14ac:dyDescent="0.35">
      <c r="A819" s="36"/>
      <c r="B819" s="36" t="s">
        <v>1988</v>
      </c>
      <c r="C819" s="37">
        <v>3</v>
      </c>
    </row>
    <row r="820" spans="1:3" ht="15" thickBot="1" x14ac:dyDescent="0.35">
      <c r="A820" s="36" t="s">
        <v>2620</v>
      </c>
      <c r="B820" s="36" t="s">
        <v>2621</v>
      </c>
      <c r="C820" s="37">
        <v>3</v>
      </c>
    </row>
    <row r="821" spans="1:3" ht="15" thickBot="1" x14ac:dyDescent="0.35">
      <c r="A821" s="36" t="s">
        <v>1914</v>
      </c>
      <c r="B821" s="36" t="s">
        <v>1498</v>
      </c>
      <c r="C821" s="37">
        <v>3</v>
      </c>
    </row>
    <row r="822" spans="1:3" ht="15" thickBot="1" x14ac:dyDescent="0.35">
      <c r="A822" s="36" t="s">
        <v>1989</v>
      </c>
      <c r="B822" s="36" t="s">
        <v>1531</v>
      </c>
      <c r="C822" s="37">
        <v>3</v>
      </c>
    </row>
    <row r="823" spans="1:3" ht="15" thickBot="1" x14ac:dyDescent="0.35">
      <c r="A823" s="36" t="s">
        <v>580</v>
      </c>
      <c r="B823" s="36" t="s">
        <v>2622</v>
      </c>
      <c r="C823" s="37">
        <v>3</v>
      </c>
    </row>
    <row r="824" spans="1:3" ht="27.6" thickBot="1" x14ac:dyDescent="0.35">
      <c r="A824" s="36" t="s">
        <v>1924</v>
      </c>
      <c r="B824" s="36" t="s">
        <v>1508</v>
      </c>
      <c r="C824" s="37">
        <v>3</v>
      </c>
    </row>
    <row r="825" spans="1:3" ht="15" thickBot="1" x14ac:dyDescent="0.35">
      <c r="A825" s="36" t="s">
        <v>560</v>
      </c>
      <c r="B825" s="36" t="s">
        <v>2120</v>
      </c>
      <c r="C825" s="37">
        <v>3</v>
      </c>
    </row>
    <row r="826" spans="1:3" ht="15" thickBot="1" x14ac:dyDescent="0.35">
      <c r="A826" s="36" t="s">
        <v>1888</v>
      </c>
      <c r="B826" s="36" t="s">
        <v>1469</v>
      </c>
      <c r="C826" s="37">
        <v>3</v>
      </c>
    </row>
    <row r="827" spans="1:3" ht="15" thickBot="1" x14ac:dyDescent="0.35">
      <c r="A827" s="36" t="s">
        <v>2623</v>
      </c>
      <c r="B827" s="36" t="s">
        <v>2624</v>
      </c>
      <c r="C827" s="37">
        <v>3</v>
      </c>
    </row>
    <row r="828" spans="1:3" ht="15" thickBot="1" x14ac:dyDescent="0.35">
      <c r="A828" s="36"/>
      <c r="B828" s="36" t="s">
        <v>1976</v>
      </c>
      <c r="C828" s="37">
        <v>3</v>
      </c>
    </row>
    <row r="829" spans="1:3" ht="15" thickBot="1" x14ac:dyDescent="0.35">
      <c r="A829" s="36" t="s">
        <v>1999</v>
      </c>
      <c r="B829" s="36" t="s">
        <v>1541</v>
      </c>
      <c r="C829" s="37">
        <v>3</v>
      </c>
    </row>
    <row r="830" spans="1:3" ht="15" thickBot="1" x14ac:dyDescent="0.35">
      <c r="A830" s="36"/>
      <c r="B830" s="36" t="s">
        <v>1515</v>
      </c>
      <c r="C830" s="37">
        <v>3</v>
      </c>
    </row>
    <row r="831" spans="1:3" ht="15" thickBot="1" x14ac:dyDescent="0.35">
      <c r="A831" s="36" t="s">
        <v>2413</v>
      </c>
      <c r="B831" s="36" t="s">
        <v>2414</v>
      </c>
      <c r="C831" s="37">
        <v>3</v>
      </c>
    </row>
    <row r="832" spans="1:3" ht="15" thickBot="1" x14ac:dyDescent="0.35">
      <c r="A832" s="36" t="s">
        <v>830</v>
      </c>
      <c r="B832" s="36" t="s">
        <v>1044</v>
      </c>
      <c r="C832" s="37">
        <v>2</v>
      </c>
    </row>
    <row r="833" spans="1:3" ht="15" thickBot="1" x14ac:dyDescent="0.35">
      <c r="A833" s="36" t="s">
        <v>2073</v>
      </c>
      <c r="B833" s="36" t="s">
        <v>2074</v>
      </c>
      <c r="C833" s="37">
        <v>2</v>
      </c>
    </row>
    <row r="834" spans="1:3" ht="15" thickBot="1" x14ac:dyDescent="0.35">
      <c r="A834" s="36" t="s">
        <v>1931</v>
      </c>
      <c r="B834" s="36" t="s">
        <v>1518</v>
      </c>
      <c r="C834" s="37">
        <v>2</v>
      </c>
    </row>
    <row r="835" spans="1:3" ht="15" thickBot="1" x14ac:dyDescent="0.35">
      <c r="A835" s="36" t="s">
        <v>1832</v>
      </c>
      <c r="B835" s="36" t="s">
        <v>1409</v>
      </c>
      <c r="C835" s="37">
        <v>2</v>
      </c>
    </row>
    <row r="836" spans="1:3" ht="15" thickBot="1" x14ac:dyDescent="0.35">
      <c r="A836" s="36" t="s">
        <v>1935</v>
      </c>
      <c r="B836" s="36" t="s">
        <v>1522</v>
      </c>
      <c r="C836" s="37">
        <v>2</v>
      </c>
    </row>
    <row r="837" spans="1:3" ht="15" thickBot="1" x14ac:dyDescent="0.35">
      <c r="A837" s="36"/>
      <c r="B837" s="36" t="s">
        <v>1523</v>
      </c>
      <c r="C837" s="37">
        <v>2</v>
      </c>
    </row>
    <row r="838" spans="1:3" ht="15" thickBot="1" x14ac:dyDescent="0.35">
      <c r="A838" s="36"/>
      <c r="B838" s="36" t="s">
        <v>1527</v>
      </c>
      <c r="C838" s="37">
        <v>2</v>
      </c>
    </row>
    <row r="839" spans="1:3" ht="15" thickBot="1" x14ac:dyDescent="0.35">
      <c r="A839" s="36" t="s">
        <v>1895</v>
      </c>
      <c r="B839" s="36" t="s">
        <v>1476</v>
      </c>
      <c r="C839" s="37">
        <v>2</v>
      </c>
    </row>
    <row r="840" spans="1:3" ht="15" thickBot="1" x14ac:dyDescent="0.35">
      <c r="A840" s="36" t="s">
        <v>1807</v>
      </c>
      <c r="B840" s="36" t="s">
        <v>1383</v>
      </c>
      <c r="C840" s="37">
        <v>2</v>
      </c>
    </row>
    <row r="841" spans="1:3" ht="15" thickBot="1" x14ac:dyDescent="0.35">
      <c r="A841" s="36" t="s">
        <v>1911</v>
      </c>
      <c r="B841" s="36" t="s">
        <v>1495</v>
      </c>
      <c r="C841" s="37">
        <v>2</v>
      </c>
    </row>
    <row r="842" spans="1:3" ht="15" thickBot="1" x14ac:dyDescent="0.35">
      <c r="A842" s="36" t="s">
        <v>1923</v>
      </c>
      <c r="B842" s="36" t="s">
        <v>1507</v>
      </c>
      <c r="C842" s="37">
        <v>2</v>
      </c>
    </row>
    <row r="843" spans="1:3" ht="15" thickBot="1" x14ac:dyDescent="0.35">
      <c r="A843" s="36"/>
      <c r="B843" s="36" t="s">
        <v>2077</v>
      </c>
      <c r="C843" s="37">
        <v>2</v>
      </c>
    </row>
    <row r="844" spans="1:3" ht="15" thickBot="1" x14ac:dyDescent="0.35">
      <c r="A844" s="36" t="s">
        <v>2415</v>
      </c>
      <c r="B844" s="36" t="s">
        <v>2416</v>
      </c>
      <c r="C844" s="37">
        <v>2</v>
      </c>
    </row>
    <row r="845" spans="1:3" ht="27.6" thickBot="1" x14ac:dyDescent="0.35">
      <c r="A845" s="36" t="s">
        <v>1930</v>
      </c>
      <c r="B845" s="36" t="s">
        <v>1517</v>
      </c>
      <c r="C845" s="37">
        <v>2</v>
      </c>
    </row>
    <row r="846" spans="1:3" ht="15" thickBot="1" x14ac:dyDescent="0.35">
      <c r="A846" s="36" t="s">
        <v>2192</v>
      </c>
      <c r="B846" s="36" t="s">
        <v>2625</v>
      </c>
      <c r="C846" s="37">
        <v>2</v>
      </c>
    </row>
    <row r="847" spans="1:3" ht="15" thickBot="1" x14ac:dyDescent="0.35">
      <c r="A847" s="36" t="s">
        <v>2092</v>
      </c>
      <c r="B847" s="36" t="s">
        <v>2626</v>
      </c>
      <c r="C847" s="37">
        <v>2</v>
      </c>
    </row>
    <row r="848" spans="1:3" ht="15" thickBot="1" x14ac:dyDescent="0.35">
      <c r="A848" s="36" t="s">
        <v>2627</v>
      </c>
      <c r="B848" s="36" t="s">
        <v>2628</v>
      </c>
      <c r="C848" s="37">
        <v>2</v>
      </c>
    </row>
    <row r="849" spans="1:3" ht="15" thickBot="1" x14ac:dyDescent="0.35">
      <c r="A849" s="36" t="s">
        <v>1848</v>
      </c>
      <c r="B849" s="36" t="s">
        <v>1425</v>
      </c>
      <c r="C849" s="37">
        <v>2</v>
      </c>
    </row>
    <row r="850" spans="1:3" ht="15" thickBot="1" x14ac:dyDescent="0.35">
      <c r="A850" s="36" t="s">
        <v>1896</v>
      </c>
      <c r="B850" s="36" t="s">
        <v>1477</v>
      </c>
      <c r="C850" s="37">
        <v>2</v>
      </c>
    </row>
    <row r="851" spans="1:3" ht="15" thickBot="1" x14ac:dyDescent="0.35">
      <c r="A851" s="36" t="s">
        <v>2228</v>
      </c>
      <c r="B851" s="36" t="s">
        <v>2629</v>
      </c>
      <c r="C851" s="37">
        <v>2</v>
      </c>
    </row>
    <row r="852" spans="1:3" ht="15" thickBot="1" x14ac:dyDescent="0.35">
      <c r="A852" s="36" t="s">
        <v>2305</v>
      </c>
      <c r="B852" s="36" t="s">
        <v>2630</v>
      </c>
      <c r="C852" s="37">
        <v>2</v>
      </c>
    </row>
    <row r="853" spans="1:3" ht="15" thickBot="1" x14ac:dyDescent="0.35">
      <c r="A853" s="36" t="s">
        <v>2164</v>
      </c>
      <c r="B853" s="36" t="s">
        <v>2165</v>
      </c>
      <c r="C853" s="37">
        <v>2</v>
      </c>
    </row>
    <row r="854" spans="1:3" ht="15" thickBot="1" x14ac:dyDescent="0.35">
      <c r="A854" s="36" t="s">
        <v>1929</v>
      </c>
      <c r="B854" s="36" t="s">
        <v>1516</v>
      </c>
      <c r="C854" s="37">
        <v>2</v>
      </c>
    </row>
    <row r="855" spans="1:3" ht="15" thickBot="1" x14ac:dyDescent="0.35">
      <c r="A855" s="36" t="s">
        <v>1915</v>
      </c>
      <c r="B855" s="36" t="s">
        <v>1499</v>
      </c>
      <c r="C855" s="37">
        <v>2</v>
      </c>
    </row>
    <row r="856" spans="1:3" ht="15" thickBot="1" x14ac:dyDescent="0.35">
      <c r="A856" s="36" t="s">
        <v>1940</v>
      </c>
      <c r="B856" s="36" t="s">
        <v>1530</v>
      </c>
      <c r="C856" s="37">
        <v>2</v>
      </c>
    </row>
    <row r="857" spans="1:3" ht="15" thickBot="1" x14ac:dyDescent="0.35">
      <c r="A857" s="36"/>
      <c r="B857" s="36" t="s">
        <v>1534</v>
      </c>
      <c r="C857" s="37">
        <v>2</v>
      </c>
    </row>
    <row r="858" spans="1:3" ht="15" thickBot="1" x14ac:dyDescent="0.35">
      <c r="A858" s="36"/>
      <c r="B858" s="36" t="s">
        <v>1535</v>
      </c>
      <c r="C858" s="37">
        <v>2</v>
      </c>
    </row>
    <row r="859" spans="1:3" ht="27.6" thickBot="1" x14ac:dyDescent="0.35">
      <c r="A859" s="36" t="s">
        <v>1991</v>
      </c>
      <c r="B859" s="36" t="s">
        <v>1536</v>
      </c>
      <c r="C859" s="37">
        <v>1</v>
      </c>
    </row>
    <row r="860" spans="1:3" ht="27.6" thickBot="1" x14ac:dyDescent="0.35">
      <c r="A860" s="36" t="s">
        <v>532</v>
      </c>
      <c r="B860" s="36" t="s">
        <v>1444</v>
      </c>
      <c r="C860" s="37">
        <v>1</v>
      </c>
    </row>
    <row r="861" spans="1:3" ht="15" thickBot="1" x14ac:dyDescent="0.35">
      <c r="A861" s="36" t="s">
        <v>1927</v>
      </c>
      <c r="B861" s="36" t="s">
        <v>1513</v>
      </c>
      <c r="C861" s="37">
        <v>1</v>
      </c>
    </row>
    <row r="862" spans="1:3" ht="15" thickBot="1" x14ac:dyDescent="0.35">
      <c r="A862" s="36" t="s">
        <v>1993</v>
      </c>
      <c r="B862" s="36" t="s">
        <v>1538</v>
      </c>
      <c r="C862" s="37">
        <v>1</v>
      </c>
    </row>
    <row r="863" spans="1:3" ht="15" thickBot="1" x14ac:dyDescent="0.35">
      <c r="A863" s="36" t="s">
        <v>1838</v>
      </c>
      <c r="B863" s="36" t="s">
        <v>1414</v>
      </c>
      <c r="C863" s="37">
        <v>1</v>
      </c>
    </row>
    <row r="864" spans="1:3" ht="15" thickBot="1" x14ac:dyDescent="0.35">
      <c r="A864" s="36" t="s">
        <v>2143</v>
      </c>
      <c r="B864" s="36" t="s">
        <v>2144</v>
      </c>
      <c r="C864" s="37">
        <v>1</v>
      </c>
    </row>
    <row r="865" spans="1:3" ht="15" thickBot="1" x14ac:dyDescent="0.35">
      <c r="A865" s="36" t="s">
        <v>1911</v>
      </c>
      <c r="B865" s="36" t="s">
        <v>1542</v>
      </c>
      <c r="C865" s="37">
        <v>1</v>
      </c>
    </row>
    <row r="866" spans="1:3" ht="15" thickBot="1" x14ac:dyDescent="0.35">
      <c r="A866" s="36" t="s">
        <v>1918</v>
      </c>
      <c r="B866" s="36" t="s">
        <v>1502</v>
      </c>
      <c r="C866" s="37">
        <v>1</v>
      </c>
    </row>
    <row r="867" spans="1:3" ht="15" thickBot="1" x14ac:dyDescent="0.35">
      <c r="A867" s="36" t="s">
        <v>1913</v>
      </c>
      <c r="B867" s="36" t="s">
        <v>1497</v>
      </c>
      <c r="C867" s="37">
        <v>1</v>
      </c>
    </row>
    <row r="868" spans="1:3" ht="15" thickBot="1" x14ac:dyDescent="0.35">
      <c r="A868" s="36" t="s">
        <v>2417</v>
      </c>
      <c r="B868" s="36" t="s">
        <v>2418</v>
      </c>
      <c r="C868" s="37">
        <v>1</v>
      </c>
    </row>
    <row r="869" spans="1:3" ht="15" thickBot="1" x14ac:dyDescent="0.35">
      <c r="A869" s="36" t="s">
        <v>612</v>
      </c>
      <c r="B869" s="36" t="s">
        <v>1478</v>
      </c>
      <c r="C869" s="37">
        <v>1</v>
      </c>
    </row>
    <row r="870" spans="1:3" ht="27.6" thickBot="1" x14ac:dyDescent="0.35">
      <c r="A870" s="36" t="s">
        <v>1996</v>
      </c>
      <c r="B870" s="36" t="s">
        <v>1546</v>
      </c>
      <c r="C870" s="37">
        <v>1</v>
      </c>
    </row>
    <row r="871" spans="1:3" ht="27.6" thickBot="1" x14ac:dyDescent="0.35">
      <c r="A871" s="36" t="s">
        <v>1997</v>
      </c>
      <c r="B871" s="36" t="s">
        <v>1547</v>
      </c>
      <c r="C871" s="37">
        <v>1</v>
      </c>
    </row>
    <row r="872" spans="1:3" ht="15" thickBot="1" x14ac:dyDescent="0.35">
      <c r="A872" s="36" t="s">
        <v>2631</v>
      </c>
      <c r="B872" s="36" t="s">
        <v>2632</v>
      </c>
      <c r="C872" s="37">
        <v>1</v>
      </c>
    </row>
    <row r="873" spans="1:3" ht="15" thickBot="1" x14ac:dyDescent="0.35">
      <c r="A873" s="36" t="s">
        <v>1847</v>
      </c>
      <c r="B873" s="36" t="s">
        <v>1424</v>
      </c>
      <c r="C873" s="37">
        <v>1</v>
      </c>
    </row>
    <row r="874" spans="1:3" ht="15" thickBot="1" x14ac:dyDescent="0.35">
      <c r="A874" s="36" t="s">
        <v>2633</v>
      </c>
      <c r="B874" s="36" t="s">
        <v>2634</v>
      </c>
      <c r="C874" s="37">
        <v>1</v>
      </c>
    </row>
    <row r="875" spans="1:3" ht="15" thickBot="1" x14ac:dyDescent="0.35">
      <c r="A875" s="36" t="s">
        <v>1879</v>
      </c>
      <c r="B875" s="36" t="s">
        <v>1459</v>
      </c>
      <c r="C875" s="37">
        <v>1</v>
      </c>
    </row>
    <row r="876" spans="1:3" ht="15" thickBot="1" x14ac:dyDescent="0.35">
      <c r="A876" s="36" t="s">
        <v>2113</v>
      </c>
      <c r="B876" s="36" t="s">
        <v>2114</v>
      </c>
      <c r="C876" s="37">
        <v>1</v>
      </c>
    </row>
    <row r="877" spans="1:3" ht="15" thickBot="1" x14ac:dyDescent="0.35">
      <c r="A877" s="36" t="s">
        <v>1933</v>
      </c>
      <c r="B877" s="36" t="s">
        <v>1520</v>
      </c>
      <c r="C877" s="37">
        <v>1</v>
      </c>
    </row>
    <row r="878" spans="1:3" ht="15" thickBot="1" x14ac:dyDescent="0.35">
      <c r="A878" s="36" t="s">
        <v>1934</v>
      </c>
      <c r="B878" s="36" t="s">
        <v>1521</v>
      </c>
      <c r="C878" s="37">
        <v>1</v>
      </c>
    </row>
    <row r="879" spans="1:3" ht="15" thickBot="1" x14ac:dyDescent="0.35">
      <c r="A879" s="36" t="s">
        <v>1926</v>
      </c>
      <c r="B879" s="36" t="s">
        <v>1511</v>
      </c>
      <c r="C879" s="37">
        <v>1</v>
      </c>
    </row>
    <row r="880" spans="1:3" ht="15" thickBot="1" x14ac:dyDescent="0.35">
      <c r="A880" s="36"/>
      <c r="B880" s="36" t="s">
        <v>1548</v>
      </c>
      <c r="C880" s="37">
        <v>1</v>
      </c>
    </row>
    <row r="881" spans="1:3" ht="15" thickBot="1" x14ac:dyDescent="0.35">
      <c r="A881" s="36"/>
      <c r="B881" s="36" t="s">
        <v>1549</v>
      </c>
      <c r="C881" s="37">
        <v>1</v>
      </c>
    </row>
    <row r="882" spans="1:3" ht="15" thickBot="1" x14ac:dyDescent="0.35">
      <c r="A882" s="36"/>
      <c r="B882" s="36" t="s">
        <v>1550</v>
      </c>
      <c r="C882" s="37">
        <v>1</v>
      </c>
    </row>
    <row r="883" spans="1:3" ht="15" thickBot="1" x14ac:dyDescent="0.35">
      <c r="A883" s="36"/>
      <c r="B883" s="36" t="s">
        <v>2635</v>
      </c>
      <c r="C883" s="37">
        <v>1</v>
      </c>
    </row>
    <row r="884" spans="1:3" ht="15" thickBot="1" x14ac:dyDescent="0.35">
      <c r="A884" s="36" t="s">
        <v>694</v>
      </c>
      <c r="B884" s="36" t="s">
        <v>2412</v>
      </c>
      <c r="C884" s="37">
        <v>1</v>
      </c>
    </row>
    <row r="885" spans="1:3" ht="15" thickBot="1" x14ac:dyDescent="0.35">
      <c r="A885" s="36" t="s">
        <v>2636</v>
      </c>
      <c r="B885" s="36" t="s">
        <v>2637</v>
      </c>
      <c r="C885" s="37">
        <v>1</v>
      </c>
    </row>
    <row r="886" spans="1:3" ht="15" thickBot="1" x14ac:dyDescent="0.35">
      <c r="A886" s="36" t="s">
        <v>1898</v>
      </c>
      <c r="B886" s="36" t="s">
        <v>1481</v>
      </c>
      <c r="C886" s="37">
        <v>1</v>
      </c>
    </row>
    <row r="887" spans="1:3" ht="15" thickBot="1" x14ac:dyDescent="0.35">
      <c r="A887" s="36" t="s">
        <v>2638</v>
      </c>
      <c r="B887" s="36" t="s">
        <v>2639</v>
      </c>
      <c r="C887" s="37">
        <v>1</v>
      </c>
    </row>
    <row r="888" spans="1:3" ht="15" thickBot="1" x14ac:dyDescent="0.35">
      <c r="A888" s="36"/>
      <c r="B888" s="36" t="s">
        <v>1554</v>
      </c>
      <c r="C888" s="37">
        <v>1</v>
      </c>
    </row>
    <row r="889" spans="1:3" ht="15" thickBot="1" x14ac:dyDescent="0.35">
      <c r="A889" s="36" t="s">
        <v>2640</v>
      </c>
      <c r="B889" s="36" t="s">
        <v>2641</v>
      </c>
      <c r="C889" s="37">
        <v>1</v>
      </c>
    </row>
    <row r="890" spans="1:3" ht="15" thickBot="1" x14ac:dyDescent="0.35">
      <c r="A890" s="36"/>
      <c r="B890" s="36" t="s">
        <v>1555</v>
      </c>
      <c r="C890" s="37">
        <v>1</v>
      </c>
    </row>
    <row r="891" spans="1:3" ht="15" thickBot="1" x14ac:dyDescent="0.35">
      <c r="A891" s="36" t="s">
        <v>2109</v>
      </c>
      <c r="B891" s="36" t="s">
        <v>2110</v>
      </c>
      <c r="C891" s="37">
        <v>1</v>
      </c>
    </row>
    <row r="892" spans="1:3" ht="15" thickBot="1" x14ac:dyDescent="0.35">
      <c r="A892" s="36" t="s">
        <v>1990</v>
      </c>
      <c r="B892" s="36" t="s">
        <v>1533</v>
      </c>
      <c r="C892" s="37">
        <v>1</v>
      </c>
    </row>
    <row r="893" spans="1:3" ht="15" thickBot="1" x14ac:dyDescent="0.35">
      <c r="A893" s="36"/>
      <c r="B893" s="36" t="s">
        <v>1556</v>
      </c>
      <c r="C893" s="37">
        <v>1</v>
      </c>
    </row>
    <row r="894" spans="1:3" ht="15" thickBot="1" x14ac:dyDescent="0.35">
      <c r="A894" s="36"/>
      <c r="B894" s="36" t="s">
        <v>1544</v>
      </c>
      <c r="C894" s="37">
        <v>1</v>
      </c>
    </row>
    <row r="895" spans="1:3" ht="15" thickBot="1" x14ac:dyDescent="0.35">
      <c r="A895" s="36"/>
      <c r="B895" s="36" t="s">
        <v>1557</v>
      </c>
      <c r="C895" s="37">
        <v>1</v>
      </c>
    </row>
    <row r="896" spans="1:3" ht="15" thickBot="1" x14ac:dyDescent="0.35">
      <c r="A896" s="36" t="s">
        <v>402</v>
      </c>
      <c r="B896" s="36" t="s">
        <v>2642</v>
      </c>
      <c r="C896" s="37">
        <v>0</v>
      </c>
    </row>
    <row r="897" spans="1:3" ht="15" thickBot="1" x14ac:dyDescent="0.35">
      <c r="A897" s="36" t="s">
        <v>2374</v>
      </c>
      <c r="B897" s="36" t="s">
        <v>2373</v>
      </c>
      <c r="C897" s="37">
        <v>0</v>
      </c>
    </row>
    <row r="898" spans="1:3" ht="15" thickBot="1" x14ac:dyDescent="0.35">
      <c r="A898" s="36" t="s">
        <v>582</v>
      </c>
      <c r="B898" s="36" t="s">
        <v>1143</v>
      </c>
      <c r="C898" s="37">
        <v>0</v>
      </c>
    </row>
    <row r="899" spans="1:3" ht="15" thickBot="1" x14ac:dyDescent="0.35">
      <c r="A899" s="36" t="s">
        <v>840</v>
      </c>
      <c r="B899" s="36" t="s">
        <v>1155</v>
      </c>
      <c r="C899" s="37">
        <v>0</v>
      </c>
    </row>
    <row r="900" spans="1:3" ht="15" thickBot="1" x14ac:dyDescent="0.35">
      <c r="A900" s="36" t="s">
        <v>814</v>
      </c>
      <c r="B900" s="36" t="s">
        <v>1223</v>
      </c>
      <c r="C900" s="37">
        <v>0</v>
      </c>
    </row>
    <row r="901" spans="1:3" ht="15" thickBot="1" x14ac:dyDescent="0.35">
      <c r="A901" s="36" t="s">
        <v>448</v>
      </c>
      <c r="B901" s="36" t="s">
        <v>2423</v>
      </c>
      <c r="C901" s="37">
        <v>0</v>
      </c>
    </row>
    <row r="902" spans="1:3" ht="27.6" thickBot="1" x14ac:dyDescent="0.35">
      <c r="A902" s="36" t="s">
        <v>1995</v>
      </c>
      <c r="B902" s="36" t="s">
        <v>1545</v>
      </c>
      <c r="C902" s="37">
        <v>0</v>
      </c>
    </row>
    <row r="903" spans="1:3" ht="27.6" thickBot="1" x14ac:dyDescent="0.35">
      <c r="A903" s="36" t="s">
        <v>732</v>
      </c>
      <c r="B903" s="36" t="s">
        <v>1509</v>
      </c>
      <c r="C903" s="37">
        <v>0</v>
      </c>
    </row>
    <row r="904" spans="1:3" ht="15" thickBot="1" x14ac:dyDescent="0.35">
      <c r="A904" s="36" t="s">
        <v>2166</v>
      </c>
      <c r="B904" s="36" t="s">
        <v>2167</v>
      </c>
      <c r="C904" s="37">
        <v>0</v>
      </c>
    </row>
    <row r="905" spans="1:3" ht="15" thickBot="1" x14ac:dyDescent="0.35">
      <c r="A905" s="36" t="s">
        <v>1992</v>
      </c>
      <c r="B905" s="36" t="s">
        <v>1537</v>
      </c>
      <c r="C905" s="37">
        <v>0</v>
      </c>
    </row>
    <row r="906" spans="1:3" ht="15" thickBot="1" x14ac:dyDescent="0.35">
      <c r="A906" s="36" t="s">
        <v>2434</v>
      </c>
      <c r="B906" s="36" t="s">
        <v>1558</v>
      </c>
      <c r="C906" s="37">
        <v>0</v>
      </c>
    </row>
    <row r="907" spans="1:3" ht="15" thickBot="1" x14ac:dyDescent="0.35">
      <c r="A907" s="36" t="s">
        <v>2111</v>
      </c>
      <c r="B907" s="36" t="s">
        <v>2112</v>
      </c>
      <c r="C907" s="37">
        <v>0</v>
      </c>
    </row>
    <row r="908" spans="1:3" ht="15" thickBot="1" x14ac:dyDescent="0.35">
      <c r="A908" s="36" t="s">
        <v>1994</v>
      </c>
      <c r="B908" s="36" t="s">
        <v>1543</v>
      </c>
      <c r="C908" s="37">
        <v>0</v>
      </c>
    </row>
    <row r="909" spans="1:3" ht="15" thickBot="1" x14ac:dyDescent="0.35">
      <c r="A909" s="36" t="s">
        <v>2436</v>
      </c>
      <c r="B909" s="36" t="s">
        <v>1560</v>
      </c>
      <c r="C909" s="37">
        <v>0</v>
      </c>
    </row>
    <row r="910" spans="1:3" ht="15" thickBot="1" x14ac:dyDescent="0.35">
      <c r="A910" s="36" t="s">
        <v>1892</v>
      </c>
      <c r="B910" s="36" t="s">
        <v>1473</v>
      </c>
      <c r="C910" s="37">
        <v>0</v>
      </c>
    </row>
    <row r="911" spans="1:3" ht="15" thickBot="1" x14ac:dyDescent="0.35">
      <c r="A911" s="36"/>
      <c r="B911" s="36" t="s">
        <v>2643</v>
      </c>
      <c r="C911" s="37">
        <v>0</v>
      </c>
    </row>
    <row r="912" spans="1:3" ht="15" thickBot="1" x14ac:dyDescent="0.35">
      <c r="A912" s="36"/>
      <c r="B912" s="36" t="s">
        <v>2644</v>
      </c>
      <c r="C912" s="37">
        <v>0</v>
      </c>
    </row>
    <row r="913" spans="1:3" ht="15" thickBot="1" x14ac:dyDescent="0.35">
      <c r="A913" s="36"/>
      <c r="B913" s="36" t="s">
        <v>1561</v>
      </c>
      <c r="C913" s="37">
        <v>0</v>
      </c>
    </row>
    <row r="914" spans="1:3" ht="15" thickBot="1" x14ac:dyDescent="0.35">
      <c r="A914" s="36"/>
      <c r="B914" s="36" t="s">
        <v>1561</v>
      </c>
      <c r="C914" s="37">
        <v>0</v>
      </c>
    </row>
    <row r="915" spans="1:3" ht="15" thickBot="1" x14ac:dyDescent="0.35">
      <c r="A915" s="36"/>
      <c r="B915" s="36" t="s">
        <v>2644</v>
      </c>
      <c r="C915" s="37">
        <v>0</v>
      </c>
    </row>
    <row r="916" spans="1:3" ht="15" thickBot="1" x14ac:dyDescent="0.35">
      <c r="A916" s="36"/>
      <c r="B916" s="36" t="s">
        <v>1561</v>
      </c>
      <c r="C916" s="37">
        <v>0</v>
      </c>
    </row>
    <row r="917" spans="1:3" ht="15" thickBot="1" x14ac:dyDescent="0.35">
      <c r="A917" s="36" t="s">
        <v>280</v>
      </c>
      <c r="B917" s="36"/>
      <c r="C917" s="37">
        <v>0</v>
      </c>
    </row>
    <row r="918" spans="1:3" ht="15" thickBot="1" x14ac:dyDescent="0.35">
      <c r="A918" s="36" t="s">
        <v>280</v>
      </c>
      <c r="B918" s="36"/>
      <c r="C918" s="37">
        <v>0</v>
      </c>
    </row>
    <row r="919" spans="1:3" ht="15" thickBot="1" x14ac:dyDescent="0.35">
      <c r="A919" s="36" t="s">
        <v>280</v>
      </c>
      <c r="B919" s="36"/>
      <c r="C919" s="37">
        <v>0</v>
      </c>
    </row>
    <row r="920" spans="1:3" ht="15" thickBot="1" x14ac:dyDescent="0.35">
      <c r="A920" s="36" t="s">
        <v>280</v>
      </c>
      <c r="B920" s="36"/>
      <c r="C920" s="37">
        <v>0</v>
      </c>
    </row>
    <row r="921" spans="1:3" ht="15" thickBot="1" x14ac:dyDescent="0.35">
      <c r="A921" s="36" t="s">
        <v>280</v>
      </c>
      <c r="B921" s="36"/>
      <c r="C921" s="37">
        <v>0</v>
      </c>
    </row>
    <row r="922" spans="1:3" ht="15" thickBot="1" x14ac:dyDescent="0.35">
      <c r="A922" s="36" t="s">
        <v>280</v>
      </c>
      <c r="B922" s="36"/>
      <c r="C922" s="37">
        <v>0</v>
      </c>
    </row>
    <row r="923" spans="1:3" ht="15" thickBot="1" x14ac:dyDescent="0.35">
      <c r="A923" s="36" t="s">
        <v>280</v>
      </c>
      <c r="B923" s="36"/>
      <c r="C923" s="37">
        <v>0</v>
      </c>
    </row>
    <row r="924" spans="1:3" ht="15" thickBot="1" x14ac:dyDescent="0.35">
      <c r="A924" s="36" t="s">
        <v>280</v>
      </c>
      <c r="B924" s="36"/>
      <c r="C924" s="37">
        <v>0</v>
      </c>
    </row>
    <row r="925" spans="1:3" ht="15" thickBot="1" x14ac:dyDescent="0.35">
      <c r="A925" s="36" t="s">
        <v>280</v>
      </c>
      <c r="B925" s="36"/>
      <c r="C925" s="37">
        <v>0</v>
      </c>
    </row>
    <row r="926" spans="1:3" ht="15" thickBot="1" x14ac:dyDescent="0.35">
      <c r="A926" s="36" t="s">
        <v>280</v>
      </c>
      <c r="B926" s="36"/>
      <c r="C926" s="37">
        <v>0</v>
      </c>
    </row>
    <row r="927" spans="1:3" ht="15" thickBot="1" x14ac:dyDescent="0.35">
      <c r="A927" s="36" t="s">
        <v>280</v>
      </c>
      <c r="B927" s="36"/>
      <c r="C927" s="37">
        <v>0</v>
      </c>
    </row>
    <row r="928" spans="1:3" ht="15" thickBot="1" x14ac:dyDescent="0.35">
      <c r="A928" s="36" t="s">
        <v>280</v>
      </c>
      <c r="B928" s="36"/>
      <c r="C928" s="37">
        <v>0</v>
      </c>
    </row>
    <row r="929" spans="1:3" ht="15" thickBot="1" x14ac:dyDescent="0.35">
      <c r="A929" s="36" t="s">
        <v>280</v>
      </c>
      <c r="B929" s="36"/>
      <c r="C929" s="37">
        <v>0</v>
      </c>
    </row>
    <row r="930" spans="1:3" ht="15" thickBot="1" x14ac:dyDescent="0.35">
      <c r="A930" s="36" t="s">
        <v>280</v>
      </c>
      <c r="B930" s="36"/>
      <c r="C930" s="37">
        <v>0</v>
      </c>
    </row>
    <row r="931" spans="1:3" ht="15" thickBot="1" x14ac:dyDescent="0.35">
      <c r="A931" s="36" t="s">
        <v>280</v>
      </c>
      <c r="B931" s="36"/>
      <c r="C931" s="37">
        <v>0</v>
      </c>
    </row>
    <row r="932" spans="1:3" ht="15" thickBot="1" x14ac:dyDescent="0.35">
      <c r="A932" s="36" t="s">
        <v>280</v>
      </c>
      <c r="B932" s="36"/>
      <c r="C932" s="37">
        <v>0</v>
      </c>
    </row>
    <row r="933" spans="1:3" ht="15" thickBot="1" x14ac:dyDescent="0.35">
      <c r="A933" s="36" t="s">
        <v>280</v>
      </c>
      <c r="B933" s="36"/>
      <c r="C933" s="37">
        <v>0</v>
      </c>
    </row>
    <row r="934" spans="1:3" ht="15" thickBot="1" x14ac:dyDescent="0.35">
      <c r="A934" s="36" t="s">
        <v>280</v>
      </c>
      <c r="B934" s="36"/>
      <c r="C934" s="37">
        <v>0</v>
      </c>
    </row>
    <row r="935" spans="1:3" ht="15" thickBot="1" x14ac:dyDescent="0.35">
      <c r="A935" s="36" t="s">
        <v>280</v>
      </c>
      <c r="B935" s="36"/>
      <c r="C935" s="37">
        <v>0</v>
      </c>
    </row>
    <row r="936" spans="1:3" ht="15" thickBot="1" x14ac:dyDescent="0.35">
      <c r="A936" s="36" t="s">
        <v>280</v>
      </c>
      <c r="B936" s="36"/>
      <c r="C936" s="37">
        <v>0</v>
      </c>
    </row>
    <row r="937" spans="1:3" ht="15" thickBot="1" x14ac:dyDescent="0.35">
      <c r="A937" s="36" t="s">
        <v>280</v>
      </c>
      <c r="B937" s="36"/>
      <c r="C937" s="37">
        <v>0</v>
      </c>
    </row>
    <row r="938" spans="1:3" ht="15" thickBot="1" x14ac:dyDescent="0.35">
      <c r="A938" s="36" t="s">
        <v>280</v>
      </c>
      <c r="B938" s="36"/>
      <c r="C938" s="37">
        <v>0</v>
      </c>
    </row>
    <row r="939" spans="1:3" ht="15" thickBot="1" x14ac:dyDescent="0.35">
      <c r="A939" s="36" t="s">
        <v>280</v>
      </c>
      <c r="B939" s="36"/>
      <c r="C939" s="37">
        <v>0</v>
      </c>
    </row>
    <row r="940" spans="1:3" ht="15" thickBot="1" x14ac:dyDescent="0.35">
      <c r="A940" s="36" t="s">
        <v>280</v>
      </c>
      <c r="B940" s="36"/>
      <c r="C940" s="37">
        <v>0</v>
      </c>
    </row>
    <row r="941" spans="1:3" ht="15" thickBot="1" x14ac:dyDescent="0.35">
      <c r="A941" s="36" t="s">
        <v>280</v>
      </c>
      <c r="B941" s="36"/>
      <c r="C941" s="37">
        <v>0</v>
      </c>
    </row>
    <row r="942" spans="1:3" ht="15" thickBot="1" x14ac:dyDescent="0.35">
      <c r="A942" s="36" t="s">
        <v>280</v>
      </c>
      <c r="B942" s="36"/>
      <c r="C942" s="37">
        <v>0</v>
      </c>
    </row>
    <row r="943" spans="1:3" ht="15" thickBot="1" x14ac:dyDescent="0.35">
      <c r="A943" s="36" t="s">
        <v>280</v>
      </c>
      <c r="B943" s="36"/>
      <c r="C943" s="37">
        <v>0</v>
      </c>
    </row>
    <row r="944" spans="1:3" ht="15" thickBot="1" x14ac:dyDescent="0.35">
      <c r="A944" s="36" t="s">
        <v>280</v>
      </c>
      <c r="B944" s="36"/>
      <c r="C944" s="37">
        <v>0</v>
      </c>
    </row>
    <row r="945" spans="1:3" ht="15" thickBot="1" x14ac:dyDescent="0.35">
      <c r="A945" s="36" t="s">
        <v>280</v>
      </c>
      <c r="B945" s="36"/>
      <c r="C945" s="37">
        <v>0</v>
      </c>
    </row>
    <row r="946" spans="1:3" ht="15" thickBot="1" x14ac:dyDescent="0.35">
      <c r="A946" s="36" t="s">
        <v>280</v>
      </c>
      <c r="B946" s="36"/>
      <c r="C946" s="37">
        <v>0</v>
      </c>
    </row>
    <row r="947" spans="1:3" ht="15" thickBot="1" x14ac:dyDescent="0.35">
      <c r="A947" s="36" t="s">
        <v>280</v>
      </c>
      <c r="B947" s="36"/>
      <c r="C947" s="37">
        <v>0</v>
      </c>
    </row>
    <row r="948" spans="1:3" ht="15" thickBot="1" x14ac:dyDescent="0.35">
      <c r="A948" s="36" t="s">
        <v>280</v>
      </c>
      <c r="B948" s="36"/>
      <c r="C948" s="37">
        <v>0</v>
      </c>
    </row>
    <row r="949" spans="1:3" ht="15" thickBot="1" x14ac:dyDescent="0.35">
      <c r="A949" s="36" t="s">
        <v>280</v>
      </c>
      <c r="B949" s="36"/>
      <c r="C949" s="37">
        <v>0</v>
      </c>
    </row>
    <row r="950" spans="1:3" ht="15" thickBot="1" x14ac:dyDescent="0.35">
      <c r="A950" s="36" t="s">
        <v>280</v>
      </c>
      <c r="B950" s="36"/>
      <c r="C950" s="37">
        <v>0</v>
      </c>
    </row>
    <row r="951" spans="1:3" ht="15" thickBot="1" x14ac:dyDescent="0.35">
      <c r="A951" s="36" t="s">
        <v>280</v>
      </c>
      <c r="B951" s="36"/>
      <c r="C951" s="37">
        <v>0</v>
      </c>
    </row>
    <row r="952" spans="1:3" ht="15" thickBot="1" x14ac:dyDescent="0.35">
      <c r="A952" s="36" t="s">
        <v>280</v>
      </c>
      <c r="B952" s="36"/>
      <c r="C952" s="37">
        <v>0</v>
      </c>
    </row>
    <row r="953" spans="1:3" ht="15" thickBot="1" x14ac:dyDescent="0.35">
      <c r="A953" s="36" t="s">
        <v>280</v>
      </c>
      <c r="B953" s="36"/>
      <c r="C953" s="37">
        <v>0</v>
      </c>
    </row>
    <row r="954" spans="1:3" ht="15" thickBot="1" x14ac:dyDescent="0.35">
      <c r="A954" s="36" t="s">
        <v>280</v>
      </c>
      <c r="B954" s="36"/>
      <c r="C954" s="37">
        <v>0</v>
      </c>
    </row>
    <row r="955" spans="1:3" ht="15" thickBot="1" x14ac:dyDescent="0.35">
      <c r="A955" s="36" t="s">
        <v>280</v>
      </c>
      <c r="B955" s="36"/>
      <c r="C955" s="37">
        <v>0</v>
      </c>
    </row>
    <row r="956" spans="1:3" ht="15" thickBot="1" x14ac:dyDescent="0.35">
      <c r="A956" s="36" t="s">
        <v>280</v>
      </c>
      <c r="B956" s="36"/>
      <c r="C956" s="37">
        <v>0</v>
      </c>
    </row>
    <row r="957" spans="1:3" ht="15" thickBot="1" x14ac:dyDescent="0.35">
      <c r="A957" s="36" t="s">
        <v>280</v>
      </c>
      <c r="B957" s="36"/>
      <c r="C957" s="37">
        <v>0</v>
      </c>
    </row>
    <row r="958" spans="1:3" ht="15" thickBot="1" x14ac:dyDescent="0.35">
      <c r="A958" s="36" t="s">
        <v>280</v>
      </c>
      <c r="B958" s="36"/>
      <c r="C958" s="37">
        <v>0</v>
      </c>
    </row>
    <row r="959" spans="1:3" ht="15" thickBot="1" x14ac:dyDescent="0.35">
      <c r="A959" s="36" t="s">
        <v>280</v>
      </c>
      <c r="B959" s="36"/>
      <c r="C959" s="37">
        <v>0</v>
      </c>
    </row>
    <row r="960" spans="1:3" ht="15" thickBot="1" x14ac:dyDescent="0.35">
      <c r="A960" s="36" t="s">
        <v>280</v>
      </c>
      <c r="B960" s="36"/>
      <c r="C960" s="37">
        <v>0</v>
      </c>
    </row>
    <row r="961" spans="1:3" ht="15" thickBot="1" x14ac:dyDescent="0.35">
      <c r="A961" s="36" t="s">
        <v>280</v>
      </c>
      <c r="B961" s="36"/>
      <c r="C961" s="37">
        <v>0</v>
      </c>
    </row>
    <row r="962" spans="1:3" ht="15" thickBot="1" x14ac:dyDescent="0.35">
      <c r="A962" s="36" t="s">
        <v>280</v>
      </c>
      <c r="B962" s="36"/>
      <c r="C962" s="37">
        <v>0</v>
      </c>
    </row>
    <row r="963" spans="1:3" ht="15" thickBot="1" x14ac:dyDescent="0.35">
      <c r="A963" s="36" t="s">
        <v>280</v>
      </c>
      <c r="B963" s="36"/>
      <c r="C963" s="37">
        <v>0</v>
      </c>
    </row>
    <row r="964" spans="1:3" ht="15" thickBot="1" x14ac:dyDescent="0.35">
      <c r="A964" s="36" t="s">
        <v>280</v>
      </c>
      <c r="B964" s="36"/>
      <c r="C964" s="37">
        <v>0</v>
      </c>
    </row>
    <row r="965" spans="1:3" ht="15" thickBot="1" x14ac:dyDescent="0.35">
      <c r="A965" s="36" t="s">
        <v>280</v>
      </c>
      <c r="B965" s="36"/>
      <c r="C965" s="37">
        <v>0</v>
      </c>
    </row>
    <row r="966" spans="1:3" ht="15" thickBot="1" x14ac:dyDescent="0.35">
      <c r="A966" s="36" t="s">
        <v>280</v>
      </c>
      <c r="B966" s="36"/>
      <c r="C966" s="37">
        <v>0</v>
      </c>
    </row>
    <row r="967" spans="1:3" ht="15" thickBot="1" x14ac:dyDescent="0.35">
      <c r="A967" s="36" t="s">
        <v>280</v>
      </c>
      <c r="B967" s="36"/>
      <c r="C967" s="37">
        <v>0</v>
      </c>
    </row>
    <row r="968" spans="1:3" ht="15" thickBot="1" x14ac:dyDescent="0.35">
      <c r="A968" s="36" t="s">
        <v>280</v>
      </c>
      <c r="B968" s="36"/>
      <c r="C968" s="37">
        <v>0</v>
      </c>
    </row>
    <row r="969" spans="1:3" ht="15" thickBot="1" x14ac:dyDescent="0.35">
      <c r="A969" s="36" t="s">
        <v>280</v>
      </c>
      <c r="B969" s="36"/>
      <c r="C969" s="37">
        <v>0</v>
      </c>
    </row>
    <row r="970" spans="1:3" ht="15" thickBot="1" x14ac:dyDescent="0.35">
      <c r="A970" s="36" t="s">
        <v>280</v>
      </c>
      <c r="B970" s="36"/>
      <c r="C970" s="37">
        <v>0</v>
      </c>
    </row>
    <row r="971" spans="1:3" ht="15" thickBot="1" x14ac:dyDescent="0.35">
      <c r="A971" s="36" t="s">
        <v>280</v>
      </c>
      <c r="B971" s="36"/>
      <c r="C971" s="37">
        <v>0</v>
      </c>
    </row>
    <row r="972" spans="1:3" ht="15" thickBot="1" x14ac:dyDescent="0.35">
      <c r="A972" s="36" t="s">
        <v>280</v>
      </c>
      <c r="B972" s="36"/>
      <c r="C972" s="37">
        <v>0</v>
      </c>
    </row>
    <row r="973" spans="1:3" ht="15" thickBot="1" x14ac:dyDescent="0.35">
      <c r="A973" s="36" t="s">
        <v>280</v>
      </c>
      <c r="B973" s="36"/>
      <c r="C973" s="37">
        <v>0</v>
      </c>
    </row>
    <row r="974" spans="1:3" ht="15" thickBot="1" x14ac:dyDescent="0.35">
      <c r="A974" s="36" t="s">
        <v>280</v>
      </c>
      <c r="B974" s="36"/>
      <c r="C974" s="37">
        <v>0</v>
      </c>
    </row>
    <row r="975" spans="1:3" ht="15" thickBot="1" x14ac:dyDescent="0.35">
      <c r="A975" s="36" t="s">
        <v>280</v>
      </c>
      <c r="B975" s="36"/>
      <c r="C975" s="37">
        <v>0</v>
      </c>
    </row>
    <row r="976" spans="1:3" ht="15" thickBot="1" x14ac:dyDescent="0.35">
      <c r="A976" s="36" t="s">
        <v>280</v>
      </c>
      <c r="B976" s="36"/>
      <c r="C976" s="37">
        <v>0</v>
      </c>
    </row>
    <row r="977" spans="1:3" ht="15" thickBot="1" x14ac:dyDescent="0.35">
      <c r="A977" s="36" t="s">
        <v>280</v>
      </c>
      <c r="B977" s="36"/>
      <c r="C977" s="37">
        <v>0</v>
      </c>
    </row>
    <row r="978" spans="1:3" ht="15" thickBot="1" x14ac:dyDescent="0.35">
      <c r="A978" s="36" t="s">
        <v>280</v>
      </c>
      <c r="B978" s="36"/>
      <c r="C978" s="37">
        <v>0</v>
      </c>
    </row>
    <row r="979" spans="1:3" ht="15" thickBot="1" x14ac:dyDescent="0.35">
      <c r="A979" s="36" t="s">
        <v>280</v>
      </c>
      <c r="B979" s="36"/>
      <c r="C979" s="37">
        <v>0</v>
      </c>
    </row>
    <row r="980" spans="1:3" ht="15" thickBot="1" x14ac:dyDescent="0.35">
      <c r="A980" s="36" t="s">
        <v>280</v>
      </c>
      <c r="B980" s="36"/>
      <c r="C980" s="37">
        <v>0</v>
      </c>
    </row>
    <row r="981" spans="1:3" ht="15" thickBot="1" x14ac:dyDescent="0.35">
      <c r="A981" s="36" t="s">
        <v>280</v>
      </c>
      <c r="B981" s="36"/>
      <c r="C981" s="37">
        <v>0</v>
      </c>
    </row>
    <row r="982" spans="1:3" ht="15" thickBot="1" x14ac:dyDescent="0.35">
      <c r="A982" s="36" t="s">
        <v>280</v>
      </c>
      <c r="B982" s="36"/>
      <c r="C982" s="37">
        <v>0</v>
      </c>
    </row>
    <row r="983" spans="1:3" ht="15" thickBot="1" x14ac:dyDescent="0.35">
      <c r="A983" s="36" t="s">
        <v>280</v>
      </c>
      <c r="B983" s="36"/>
      <c r="C983" s="37">
        <v>0</v>
      </c>
    </row>
    <row r="984" spans="1:3" ht="15" thickBot="1" x14ac:dyDescent="0.35">
      <c r="A984" s="36" t="s">
        <v>280</v>
      </c>
      <c r="B984" s="36"/>
      <c r="C984" s="37">
        <v>0</v>
      </c>
    </row>
    <row r="985" spans="1:3" ht="15" thickBot="1" x14ac:dyDescent="0.35">
      <c r="A985" s="36" t="s">
        <v>280</v>
      </c>
      <c r="B985" s="36"/>
      <c r="C985" s="37">
        <v>0</v>
      </c>
    </row>
    <row r="986" spans="1:3" ht="15" thickBot="1" x14ac:dyDescent="0.35">
      <c r="A986" s="36" t="s">
        <v>280</v>
      </c>
      <c r="B986" s="36"/>
      <c r="C986" s="37">
        <v>0</v>
      </c>
    </row>
    <row r="987" spans="1:3" ht="15" thickBot="1" x14ac:dyDescent="0.35">
      <c r="A987" s="36" t="s">
        <v>280</v>
      </c>
      <c r="B987" s="36"/>
      <c r="C987" s="37">
        <v>0</v>
      </c>
    </row>
    <row r="988" spans="1:3" ht="15" thickBot="1" x14ac:dyDescent="0.35">
      <c r="A988" s="36" t="s">
        <v>280</v>
      </c>
      <c r="B988" s="36"/>
      <c r="C988" s="37">
        <v>0</v>
      </c>
    </row>
    <row r="989" spans="1:3" ht="15" thickBot="1" x14ac:dyDescent="0.35">
      <c r="A989" s="36" t="s">
        <v>280</v>
      </c>
      <c r="B989" s="36"/>
      <c r="C989" s="37">
        <v>0</v>
      </c>
    </row>
    <row r="990" spans="1:3" ht="15" thickBot="1" x14ac:dyDescent="0.35">
      <c r="A990" s="36" t="s">
        <v>280</v>
      </c>
      <c r="B990" s="36"/>
      <c r="C990" s="37">
        <v>0</v>
      </c>
    </row>
    <row r="991" spans="1:3" ht="15" thickBot="1" x14ac:dyDescent="0.35">
      <c r="A991" s="36" t="s">
        <v>280</v>
      </c>
      <c r="B991" s="36"/>
      <c r="C991" s="37">
        <v>0</v>
      </c>
    </row>
    <row r="992" spans="1:3" ht="15" thickBot="1" x14ac:dyDescent="0.35">
      <c r="A992" s="36" t="s">
        <v>280</v>
      </c>
      <c r="B992" s="36"/>
      <c r="C992" s="37">
        <v>0</v>
      </c>
    </row>
    <row r="993" spans="1:3" ht="15" thickBot="1" x14ac:dyDescent="0.35">
      <c r="A993" s="36" t="s">
        <v>280</v>
      </c>
      <c r="B993" s="36"/>
      <c r="C993" s="37">
        <v>0</v>
      </c>
    </row>
    <row r="994" spans="1:3" ht="15" thickBot="1" x14ac:dyDescent="0.35">
      <c r="A994" s="36" t="s">
        <v>280</v>
      </c>
      <c r="B994" s="36"/>
      <c r="C994" s="37">
        <v>0</v>
      </c>
    </row>
    <row r="995" spans="1:3" ht="15" thickBot="1" x14ac:dyDescent="0.35">
      <c r="A995" s="36" t="s">
        <v>280</v>
      </c>
      <c r="B995" s="36"/>
      <c r="C995" s="37">
        <v>0</v>
      </c>
    </row>
    <row r="996" spans="1:3" ht="15" thickBot="1" x14ac:dyDescent="0.35">
      <c r="A996" s="36" t="s">
        <v>280</v>
      </c>
      <c r="B996" s="36"/>
      <c r="C996" s="37">
        <v>0</v>
      </c>
    </row>
    <row r="997" spans="1:3" ht="15" thickBot="1" x14ac:dyDescent="0.35">
      <c r="A997" s="36" t="s">
        <v>280</v>
      </c>
      <c r="B997" s="36"/>
      <c r="C997" s="37">
        <v>0</v>
      </c>
    </row>
    <row r="998" spans="1:3" ht="15" thickBot="1" x14ac:dyDescent="0.35">
      <c r="A998" s="36" t="s">
        <v>280</v>
      </c>
      <c r="B998" s="36"/>
      <c r="C998" s="37">
        <v>0</v>
      </c>
    </row>
    <row r="999" spans="1:3" ht="15" thickBot="1" x14ac:dyDescent="0.35">
      <c r="A999" s="36" t="s">
        <v>280</v>
      </c>
      <c r="B999" s="36"/>
      <c r="C999" s="37">
        <v>0</v>
      </c>
    </row>
    <row r="1000" spans="1:3" ht="15" thickBot="1" x14ac:dyDescent="0.35">
      <c r="A1000" s="36" t="s">
        <v>280</v>
      </c>
      <c r="B1000" s="36"/>
      <c r="C1000" s="37">
        <v>0</v>
      </c>
    </row>
    <row r="1001" spans="1:3" ht="15" thickBot="1" x14ac:dyDescent="0.35">
      <c r="A1001" s="36" t="s">
        <v>280</v>
      </c>
      <c r="B1001" s="36"/>
      <c r="C1001" s="37">
        <v>0</v>
      </c>
    </row>
    <row r="1002" spans="1:3" ht="15" thickBot="1" x14ac:dyDescent="0.35">
      <c r="A1002" s="36"/>
      <c r="B1002" s="36"/>
      <c r="C1002" s="36"/>
    </row>
    <row r="1003" spans="1:3" ht="15" thickBot="1" x14ac:dyDescent="0.35">
      <c r="A1003" s="36"/>
      <c r="B1003" s="36"/>
      <c r="C1003" s="36"/>
    </row>
    <row r="1004" spans="1:3" ht="15" thickBot="1" x14ac:dyDescent="0.35">
      <c r="A1004" s="36"/>
      <c r="B1004" s="36"/>
      <c r="C1004" s="3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Лист 1</vt:lpstr>
      <vt:lpstr>Сертификаты и декларации</vt:lpstr>
      <vt:lpstr>Страны</vt:lpstr>
      <vt:lpstr>Единицы измерения</vt:lpstr>
      <vt:lpstr>nomen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Контур.EDI</dc:creator>
  <dc:description>PriceList.VseInstrumenti</dc:description>
  <cp:lastModifiedBy>FurFurFury</cp:lastModifiedBy>
  <dcterms:created xsi:type="dcterms:W3CDTF">2014-01-01T00:00:00Z</dcterms:created>
  <dcterms:modified xsi:type="dcterms:W3CDTF">2026-10-09T06:19:13Z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iTemplateVersion">
    <vt:lpwstr>4</vt:lpwstr>
  </property>
</Properties>
</file>